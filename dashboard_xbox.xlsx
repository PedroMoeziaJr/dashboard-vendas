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\Desktop\"/>
    </mc:Choice>
  </mc:AlternateContent>
  <xr:revisionPtr revIDLastSave="0" documentId="13_ncr:1_{380E319B-7CCD-4B5D-9537-F03A50EF118B}" xr6:coauthVersionLast="47" xr6:coauthVersionMax="47" xr10:uidLastSave="{00000000-0000-0000-0000-000000000000}"/>
  <bookViews>
    <workbookView xWindow="-108" yWindow="-108" windowWidth="23256" windowHeight="12456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calcPr calcId="191029"/>
  <pivotCaches>
    <pivotCache cacheId="2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G9" i="4"/>
  <c r="D9" i="4"/>
  <c r="C9" i="4"/>
  <c r="F9" i="4" s="1"/>
  <c r="E9" i="4" l="1"/>
</calcChain>
</file>

<file path=xl/sharedStrings.xml><?xml version="1.0" encoding="utf-8"?>
<sst xmlns="http://schemas.openxmlformats.org/spreadsheetml/2006/main" count="2018" uniqueCount="325">
  <si>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</si>
  <si>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</si>
  <si>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</si>
  <si>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</si>
  <si>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</si>
  <si>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</si>
  <si>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</si>
  <si>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</si>
  <si>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</si>
  <si>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</si>
  <si>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</si>
  <si>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</si>
  <si>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</si>
  <si>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</si>
  <si>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</si>
  <si>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</si>
  <si>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</si>
  <si>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</si>
  <si>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</si>
  <si>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</si>
  <si>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</si>
  <si>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</si>
  <si>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</si>
  <si>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</si>
  <si>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</si>
  <si>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</si>
  <si>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</si>
  <si>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</si>
  <si>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</si>
  <si>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</si>
  <si>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</si>
  <si>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</si>
  <si>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</si>
  <si>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</si>
  <si>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</si>
  <si>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</si>
  <si>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</si>
  <si>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</si>
  <si>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</si>
  <si>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</si>
  <si>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</si>
  <si>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</si>
  <si>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</si>
  <si>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</si>
  <si>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</si>
  <si>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</si>
  <si>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</si>
  <si>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</si>
  <si>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</si>
  <si>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</si>
  <si>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</si>
  <si>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</si>
  <si>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</si>
  <si>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</si>
  <si>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</si>
  <si>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</si>
  <si>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</si>
  <si>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</si>
  <si>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</si>
  <si>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</si>
  <si>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</si>
  <si>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</si>
  <si>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</si>
  <si>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</si>
  <si>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</si>
  <si>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</si>
  <si>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</si>
  <si>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</si>
  <si>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</si>
  <si>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</si>
  <si>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</si>
  <si>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</si>
  <si>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</si>
  <si>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</si>
  <si>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</si>
  <si>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</si>
  <si>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</si>
  <si>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</si>
  <si>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</si>
  <si>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</si>
  <si>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</si>
  <si>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</si>
  <si>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</si>
  <si>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</si>
  <si>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</si>
  <si>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</si>
  <si>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</si>
  <si>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</si>
  <si>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</si>
  <si>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</si>
  <si>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</si>
  <si>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</si>
  <si>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</si>
  <si>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</si>
  <si>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</si>
  <si>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</si>
  <si>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</si>
  <si>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</si>
  <si>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</si>
  <si>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</si>
  <si>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</si>
  <si>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</si>
  <si>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</si>
  <si>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</si>
  <si>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</si>
  <si>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</si>
  <si>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</si>
  <si>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</si>
  <si>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</si>
  <si>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</si>
  <si>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</si>
  <si>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</si>
  <si>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</si>
  <si>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</si>
  <si>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</si>
  <si>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</si>
  <si>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</si>
  <si>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</si>
  <si>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</si>
  <si>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</si>
  <si>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</si>
  <si>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</si>
  <si>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</si>
  <si>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</si>
  <si>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</si>
  <si>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</si>
  <si>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</si>
  <si>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</si>
  <si>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</si>
  <si>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</si>
  <si>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</si>
  <si>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</si>
  <si>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</si>
  <si>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</si>
  <si>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</si>
  <si>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</si>
  <si>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</si>
  <si>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</si>
  <si>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</si>
  <si>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</si>
  <si>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</si>
  <si>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</si>
  <si>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</si>
  <si>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</si>
  <si>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</si>
  <si>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</si>
  <si>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</si>
  <si>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</si>
  <si>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</si>
  <si>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</si>
  <si>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</si>
  <si>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</si>
  <si>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</si>
  <si>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</si>
  <si>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</si>
  <si>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</si>
  <si>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</si>
  <si>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</si>
  <si>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</si>
  <si>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</si>
  <si>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</si>
  <si>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</si>
  <si>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</si>
  <si>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</si>
  <si>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</si>
  <si>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</si>
  <si>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</si>
  <si>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</si>
  <si>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</si>
  <si>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</si>
  <si>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</si>
  <si>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</si>
  <si>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</si>
  <si>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</si>
  <si>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</si>
  <si>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</si>
  <si>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</si>
  <si>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</si>
  <si>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</si>
  <si>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</si>
  <si>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</si>
  <si>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</si>
  <si>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</si>
  <si>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</si>
  <si>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</si>
  <si>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</si>
  <si>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</si>
  <si>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</si>
  <si>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</si>
  <si>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</si>
  <si>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</si>
  <si>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</si>
  <si>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</si>
  <si>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</si>
  <si>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</si>
  <si>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</si>
  <si>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</si>
  <si>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</si>
  <si>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</si>
  <si>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</si>
  <si>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</si>
  <si>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</si>
  <si>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</si>
  <si>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</si>
  <si>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</si>
  <si>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</si>
  <si>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</si>
  <si>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</si>
  <si>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</si>
  <si>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</si>
  <si>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</si>
  <si>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</si>
  <si>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</si>
  <si>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</si>
  <si>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</si>
  <si>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</si>
  <si>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</si>
  <si>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</si>
  <si>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</si>
  <si>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</si>
  <si>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</si>
  <si>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</si>
  <si>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</si>
  <si>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</si>
  <si>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</si>
  <si>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</si>
  <si>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</si>
  <si>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</si>
  <si>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</si>
  <si>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</si>
  <si>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</si>
  <si>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</si>
  <si>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</si>
  <si>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</si>
  <si>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</si>
  <si>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</si>
  <si>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</si>
  <si>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</si>
  <si>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</si>
  <si>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</si>
  <si>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</si>
  <si>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</si>
  <si>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</si>
  <si>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</si>
  <si>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</si>
  <si>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</si>
  <si>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</si>
  <si>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</si>
  <si>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</si>
  <si>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</si>
  <si>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</si>
  <si>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</si>
  <si>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</si>
  <si>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</si>
  <si>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</si>
  <si>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</si>
  <si>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</si>
  <si>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</si>
  <si>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</si>
  <si>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</si>
  <si>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</si>
  <si>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</si>
  <si>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</si>
  <si>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</si>
  <si>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</si>
  <si>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</si>
  <si>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</si>
  <si>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</si>
  <si>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</si>
  <si>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</si>
  <si>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</si>
  <si>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</si>
  <si>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</si>
  <si>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</si>
  <si>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</si>
  <si>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</si>
  <si>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</si>
  <si>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</si>
  <si>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</si>
  <si>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</si>
  <si>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</si>
  <si>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</si>
  <si>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</si>
  <si>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</si>
  <si>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</si>
  <si>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</si>
  <si>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</si>
  <si>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</si>
  <si>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</si>
  <si>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</si>
  <si>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</si>
  <si>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</si>
  <si>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</si>
  <si>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</si>
  <si>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</si>
  <si>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</si>
  <si>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</si>
  <si>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</si>
  <si>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</si>
  <si>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</si>
  <si>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</si>
  <si>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</si>
  <si>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</si>
  <si>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</si>
  <si>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</si>
  <si>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</si>
  <si>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</si>
  <si>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</si>
  <si>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</si>
  <si>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</si>
  <si>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</si>
  <si>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</si>
  <si>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</si>
  <si>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de Assinantes</t>
  </si>
  <si>
    <t>Receita Total</t>
  </si>
  <si>
    <t>ARPU</t>
  </si>
  <si>
    <t>%Auto-Renewal</t>
  </si>
  <si>
    <t>% com Season Pass</t>
  </si>
  <si>
    <t>Rótulos de Linha</t>
  </si>
  <si>
    <t>Total Geral</t>
  </si>
  <si>
    <t>Contagem de Subscriber ID</t>
  </si>
  <si>
    <t>00/01/1900</t>
  </si>
  <si>
    <t>Soma de Total Value</t>
  </si>
  <si>
    <t xml:space="preserve"> XBOX GAME PASS SUBSCRIPTIONS SALES</t>
  </si>
  <si>
    <t>bem-vindo, 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</si>
</sst>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7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8" borderId="0" xfId="0" applyFill="1"/>
    <xf numFmtId="0" fontId="4" fillId="8" borderId="0" xfId="0" applyFont="1" applyFill="1" applyAlignment="1">
      <alignment horizontal="center"/>
    </xf>
    <xf numFmtId="44" fontId="4" fillId="8" borderId="0" xfId="2" applyFont="1" applyFill="1" applyAlignment="1">
      <alignment horizontal="center"/>
    </xf>
    <xf numFmtId="10" fontId="4" fillId="8" borderId="0" xfId="0" applyNumberFormat="1" applyFont="1" applyFill="1" applyAlignment="1">
      <alignment horizontal="center"/>
    </xf>
    <xf numFmtId="9" fontId="4" fillId="8" borderId="0" xfId="3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/>
    <xf numFmtId="14" fontId="3" fillId="0" borderId="0" xfId="0" applyNumberFormat="1" applyFont="1" applyAlignment="1">
      <alignment horizontal="center" vertical="center" wrapText="1"/>
    </xf>
    <xf numFmtId="44" fontId="0" fillId="0" borderId="0" xfId="0" applyNumberFormat="1"/>
    <xf numFmtId="0" fontId="6" fillId="4" borderId="0" xfId="0" applyFont="1" applyFill="1"/>
    <xf numFmtId="0" fontId="7" fillId="4" borderId="0" xfId="0" applyFont="1" applyFill="1"/>
  </cellXfs>
  <cellStyles count="4">
    <cellStyle name="Moeda" xfId="2" builtinId="4"/>
    <cellStyle name="Normal" xfId="0" builtinId="0"/>
    <cellStyle name="Porcentagem" xfId="3" builtinId="5"/>
    <cellStyle name="Título 1" xfId="1" builtinId="16"/>
  </cellStyles>
  <dxfs count="18">
    <dxf>
      <numFmt numFmtId="34" formatCode="_-&quot;R$&quot;\ * #,##0.00_-;\-&quot;R$&quot;\ * #,##0.00_-;_-&quot;R$&quot;\ * &quot;-&quot;??_-;_-@_-"/>
      <alignment horizontal="center" vertical="center" textRotation="0" wrapText="1" indent="0" justifyLastLine="0" shrinkToFit="0" readingOrder="0"/>
    </dxf>
    <dxf>
      <numFmt numFmtId="14" formatCode="0.00%"/>
    </dxf>
    <dxf>
      <numFmt numFmtId="13" formatCode="0%"/>
    </dxf>
    <dxf>
      <numFmt numFmtId="13" formatCode="0%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8E6E9"/>
      <color rgb="FF2AE6B1"/>
      <color rgb="FFEDEDED"/>
      <color rgb="FF5BF6A8"/>
      <color rgb="FF22C55E"/>
      <color rgb="FF000000"/>
      <color rgb="FFE0E0E0"/>
      <color rgb="FFF7F8FC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[dashboard_xbox.xlsx]D̳ashboard!Tabela dinâmica1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Distribuição de Planos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D̳ashboard!$D$12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D̳ashboard!$C$13:$C$16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D̳ashboard!$D$13:$D$16</c:f>
              <c:numCache>
                <c:formatCode>General</c:formatCode>
                <c:ptCount val="3"/>
                <c:pt idx="0">
                  <c:v>101</c:v>
                </c:pt>
                <c:pt idx="1">
                  <c:v>96</c:v>
                </c:pt>
                <c:pt idx="2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7F-427B-B1E4-C3EB16B41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217984"/>
        <c:axId val="1166213184"/>
      </c:barChart>
      <c:catAx>
        <c:axId val="116621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213184"/>
        <c:crosses val="autoZero"/>
        <c:auto val="1"/>
        <c:lblAlgn val="ctr"/>
        <c:lblOffset val="100"/>
        <c:noMultiLvlLbl val="0"/>
      </c:catAx>
      <c:valAx>
        <c:axId val="116621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217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[dashboard_xbox.xlsx]D̳ashboard!Tabela dinâmica2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0" i="0" u="none" strike="noStrike" baseline="0"/>
              <a:t>Auto-Renewal (%)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D̳ashboard!$H$12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D̳ashboard!$G$13:$G$15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D̳ashboard!$H$13:$H$15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52-4459-AF56-BB9DEED1E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[dashboard_xbox.xlsx]D̳ashboard!Tabela dinâmica6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Receita por tipo de Assinatura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D̳ashboard!$L$12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D̳ashboard!$K$13:$K$16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D̳ashboard!$L$13:$L$16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B5-4AA4-B489-C1599C2D9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66226624"/>
        <c:axId val="1166247264"/>
      </c:barChart>
      <c:catAx>
        <c:axId val="1166226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247264"/>
        <c:crosses val="autoZero"/>
        <c:auto val="1"/>
        <c:lblAlgn val="ctr"/>
        <c:lblOffset val="100"/>
        <c:noMultiLvlLbl val="0"/>
      </c:catAx>
      <c:valAx>
        <c:axId val="1166247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66226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svg"/><Relationship Id="rId3" Type="http://schemas.openxmlformats.org/officeDocument/2006/relationships/chart" Target="../charts/chart2.xml"/><Relationship Id="rId7" Type="http://schemas.openxmlformats.org/officeDocument/2006/relationships/image" Target="../media/image9.png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image" Target="../media/image8.png"/><Relationship Id="rId5" Type="http://schemas.openxmlformats.org/officeDocument/2006/relationships/image" Target="../media/image6.png"/><Relationship Id="rId4" Type="http://schemas.openxmlformats.org/officeDocument/2006/relationships/chart" Target="../charts/chart3.xml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506730</xdr:colOff>
      <xdr:row>5</xdr:row>
      <xdr:rowOff>89535</xdr:rowOff>
    </xdr:from>
    <xdr:to>
      <xdr:col>11</xdr:col>
      <xdr:colOff>592455</xdr:colOff>
      <xdr:row>9</xdr:row>
      <xdr:rowOff>20955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236970" y="1087755"/>
          <a:ext cx="695325" cy="662940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9526</xdr:colOff>
      <xdr:row>7</xdr:row>
      <xdr:rowOff>190500</xdr:rowOff>
    </xdr:from>
    <xdr:to>
      <xdr:col>2</xdr:col>
      <xdr:colOff>1273350</xdr:colOff>
      <xdr:row>9</xdr:row>
      <xdr:rowOff>66675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8F3E56D-0EE0-7904-929C-8EE00EDDBAA2}"/>
            </a:ext>
          </a:extLst>
        </xdr:cNvPr>
        <xdr:cNvSpPr/>
      </xdr:nvSpPr>
      <xdr:spPr>
        <a:xfrm>
          <a:off x="1628776" y="2095500"/>
          <a:ext cx="1263824" cy="4381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0</xdr:col>
      <xdr:colOff>352425</xdr:colOff>
      <xdr:row>0</xdr:row>
      <xdr:rowOff>231401</xdr:rowOff>
    </xdr:from>
    <xdr:to>
      <xdr:col>2</xdr:col>
      <xdr:colOff>233772</xdr:colOff>
      <xdr:row>2</xdr:row>
      <xdr:rowOff>74497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EF4406B-DA54-43E4-A27C-62E213BCA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231401"/>
          <a:ext cx="1494994" cy="434767"/>
        </a:xfrm>
        <a:prstGeom prst="rect">
          <a:avLst/>
        </a:prstGeom>
      </xdr:spPr>
    </xdr:pic>
    <xdr:clientData/>
  </xdr:twoCellAnchor>
  <xdr:twoCellAnchor>
    <xdr:from>
      <xdr:col>3</xdr:col>
      <xdr:colOff>47626</xdr:colOff>
      <xdr:row>7</xdr:row>
      <xdr:rowOff>190500</xdr:rowOff>
    </xdr:from>
    <xdr:to>
      <xdr:col>4</xdr:col>
      <xdr:colOff>44625</xdr:colOff>
      <xdr:row>9</xdr:row>
      <xdr:rowOff>66675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19DB8069-150D-49B0-89CD-135F58300DE7}"/>
            </a:ext>
          </a:extLst>
        </xdr:cNvPr>
        <xdr:cNvSpPr/>
      </xdr:nvSpPr>
      <xdr:spPr>
        <a:xfrm>
          <a:off x="2971801" y="2095500"/>
          <a:ext cx="1263824" cy="4381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133350</xdr:colOff>
      <xdr:row>7</xdr:row>
      <xdr:rowOff>190500</xdr:rowOff>
    </xdr:from>
    <xdr:to>
      <xdr:col>4</xdr:col>
      <xdr:colOff>1240349</xdr:colOff>
      <xdr:row>9</xdr:row>
      <xdr:rowOff>66675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799F769-8FC5-464E-BA4A-1F71705E20B8}"/>
            </a:ext>
          </a:extLst>
        </xdr:cNvPr>
        <xdr:cNvSpPr/>
      </xdr:nvSpPr>
      <xdr:spPr>
        <a:xfrm>
          <a:off x="4324350" y="2095500"/>
          <a:ext cx="1106999" cy="4381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</xdr:col>
      <xdr:colOff>1323975</xdr:colOff>
      <xdr:row>7</xdr:row>
      <xdr:rowOff>190500</xdr:rowOff>
    </xdr:from>
    <xdr:to>
      <xdr:col>5</xdr:col>
      <xdr:colOff>1097474</xdr:colOff>
      <xdr:row>9</xdr:row>
      <xdr:rowOff>66675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56D966B0-9AC8-4DCC-B1EB-C88B74D17437}"/>
            </a:ext>
          </a:extLst>
        </xdr:cNvPr>
        <xdr:cNvSpPr/>
      </xdr:nvSpPr>
      <xdr:spPr>
        <a:xfrm>
          <a:off x="5514975" y="2095500"/>
          <a:ext cx="1106999" cy="438150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</xdr:col>
      <xdr:colOff>28575</xdr:colOff>
      <xdr:row>7</xdr:row>
      <xdr:rowOff>190500</xdr:rowOff>
    </xdr:from>
    <xdr:to>
      <xdr:col>6</xdr:col>
      <xdr:colOff>1262742</xdr:colOff>
      <xdr:row>9</xdr:row>
      <xdr:rowOff>66675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20323027-5FCA-4894-AF7A-2C6A27EE3782}"/>
            </a:ext>
          </a:extLst>
        </xdr:cNvPr>
        <xdr:cNvSpPr/>
      </xdr:nvSpPr>
      <xdr:spPr>
        <a:xfrm>
          <a:off x="6951889" y="2106386"/>
          <a:ext cx="1234167" cy="442232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10</xdr:row>
      <xdr:rowOff>161924</xdr:rowOff>
    </xdr:from>
    <xdr:to>
      <xdr:col>5</xdr:col>
      <xdr:colOff>0</xdr:colOff>
      <xdr:row>29</xdr:row>
      <xdr:rowOff>19050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EFB01EA-562A-63EE-5296-A2FDDC5A05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819150</xdr:colOff>
      <xdr:row>10</xdr:row>
      <xdr:rowOff>142874</xdr:rowOff>
    </xdr:from>
    <xdr:to>
      <xdr:col>9</xdr:col>
      <xdr:colOff>19050</xdr:colOff>
      <xdr:row>28</xdr:row>
      <xdr:rowOff>171449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68ED985-5F81-CAFD-C3CF-059D334413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707570</xdr:colOff>
      <xdr:row>10</xdr:row>
      <xdr:rowOff>152399</xdr:rowOff>
    </xdr:from>
    <xdr:to>
      <xdr:col>14</xdr:col>
      <xdr:colOff>391884</xdr:colOff>
      <xdr:row>28</xdr:row>
      <xdr:rowOff>141513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A0CB4991-5925-CB60-F6E5-663C7FF64F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108856</xdr:colOff>
      <xdr:row>0</xdr:row>
      <xdr:rowOff>54429</xdr:rowOff>
    </xdr:from>
    <xdr:to>
      <xdr:col>10</xdr:col>
      <xdr:colOff>804181</xdr:colOff>
      <xdr:row>3</xdr:row>
      <xdr:rowOff>31569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6E6DCEF8-CE7A-423C-BBC6-2FC98639BCE0}"/>
            </a:ext>
          </a:extLst>
        </xdr:cNvPr>
        <xdr:cNvSpPr/>
      </xdr:nvSpPr>
      <xdr:spPr>
        <a:xfrm>
          <a:off x="10994570" y="239486"/>
          <a:ext cx="695325" cy="662940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9</xdr:col>
      <xdr:colOff>376518</xdr:colOff>
      <xdr:row>6</xdr:row>
      <xdr:rowOff>89646</xdr:rowOff>
    </xdr:from>
    <xdr:to>
      <xdr:col>10</xdr:col>
      <xdr:colOff>1181923</xdr:colOff>
      <xdr:row>9</xdr:row>
      <xdr:rowOff>67572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03944372-2C8F-4C83-BC81-E8AEB41E9464}"/>
            </a:ext>
          </a:extLst>
        </xdr:cNvPr>
        <xdr:cNvGrpSpPr/>
      </xdr:nvGrpSpPr>
      <xdr:grpSpPr>
        <a:xfrm>
          <a:off x="10497671" y="1443317"/>
          <a:ext cx="1549476" cy="721996"/>
          <a:chOff x="3495675" y="5400674"/>
          <a:chExt cx="1549476" cy="752476"/>
        </a:xfrm>
      </xdr:grpSpPr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98FE8504-B1C5-DEC6-9E4F-5953202C495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8" name="Gráfico 17">
            <a:extLst>
              <a:ext uri="{FF2B5EF4-FFF2-40B4-BE49-F238E27FC236}">
                <a16:creationId xmlns:a16="http://schemas.microsoft.com/office/drawing/2014/main" id="{CEF0B1D4-A840-B25E-3B15-7E9D999F6DE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7">
            <a:extLst>
              <a:ext uri="{96DAC541-7B7A-43D3-8B79-37D633B846F1}">
                <asvg:svgBlip xmlns:asvg="http://schemas.microsoft.com/office/drawing/2016/SVG/main" r:embed="rId8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7</xdr:col>
      <xdr:colOff>708211</xdr:colOff>
      <xdr:row>6</xdr:row>
      <xdr:rowOff>0</xdr:rowOff>
    </xdr:from>
    <xdr:to>
      <xdr:col>8</xdr:col>
      <xdr:colOff>672352</xdr:colOff>
      <xdr:row>11</xdr:row>
      <xdr:rowOff>63202</xdr:rowOff>
    </xdr:to>
    <xdr:pic>
      <xdr:nvPicPr>
        <xdr:cNvPr id="19" name="Imagem 18">
          <a:extLst>
            <a:ext uri="{FF2B5EF4-FFF2-40B4-BE49-F238E27FC236}">
              <a16:creationId xmlns:a16="http://schemas.microsoft.com/office/drawing/2014/main" id="{83D44045-0CC6-4D2A-8415-717AFA256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1952" y="1667435"/>
          <a:ext cx="1219200" cy="11658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dro Moezia" refreshedDate="46043.441978125004" createdVersion="8" refreshedVersion="8" minRefreshableVersion="3" recordCount="295" xr:uid="{7DDBED0C-2B1D-467A-90D5-576EBF2C6315}">
  <cacheSource type="worksheet">
    <worksheetSource name="tblAssinaturas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d v="2024-01-01T00:00:00"/>
    <x v="0"/>
    <n v="15"/>
    <x v="0"/>
    <x v="0"/>
    <x v="0"/>
    <x v="0"/>
    <x v="0"/>
    <x v="0"/>
    <n v="60"/>
  </r>
  <r>
    <x v="1"/>
    <s v="Maria Oliveira"/>
    <x v="1"/>
    <d v="2024-01-15T00:00:00"/>
    <x v="1"/>
    <n v="5"/>
    <x v="1"/>
    <x v="1"/>
    <x v="1"/>
    <x v="1"/>
    <x v="1"/>
    <x v="1"/>
    <n v="5"/>
  </r>
  <r>
    <x v="2"/>
    <s v="Lucas Fernandes"/>
    <x v="2"/>
    <d v="2024-02-10T00:00:00"/>
    <x v="0"/>
    <n v="10"/>
    <x v="2"/>
    <x v="1"/>
    <x v="1"/>
    <x v="0"/>
    <x v="0"/>
    <x v="2"/>
    <n v="20"/>
  </r>
  <r>
    <x v="3"/>
    <s v="Ana Souza"/>
    <x v="0"/>
    <d v="2024-02-20T00:00:00"/>
    <x v="1"/>
    <n v="15"/>
    <x v="0"/>
    <x v="0"/>
    <x v="0"/>
    <x v="0"/>
    <x v="0"/>
    <x v="3"/>
    <n v="62"/>
  </r>
  <r>
    <x v="4"/>
    <s v="Pedro Gonçalves"/>
    <x v="1"/>
    <d v="2024-03-05T00:00:00"/>
    <x v="0"/>
    <n v="5"/>
    <x v="0"/>
    <x v="1"/>
    <x v="1"/>
    <x v="1"/>
    <x v="1"/>
    <x v="4"/>
    <n v="4"/>
  </r>
  <r>
    <x v="5"/>
    <s v="Felipe Costa"/>
    <x v="2"/>
    <d v="2024-03-02T00:00:00"/>
    <x v="1"/>
    <n v="10"/>
    <x v="0"/>
    <x v="1"/>
    <x v="1"/>
    <x v="0"/>
    <x v="0"/>
    <x v="5"/>
    <n v="28"/>
  </r>
  <r>
    <x v="6"/>
    <s v="Camila Ribeiro"/>
    <x v="0"/>
    <d v="2024-03-03T00:00:00"/>
    <x v="0"/>
    <n v="15"/>
    <x v="2"/>
    <x v="0"/>
    <x v="0"/>
    <x v="0"/>
    <x v="0"/>
    <x v="2"/>
    <n v="55"/>
  </r>
  <r>
    <x v="7"/>
    <s v="André Mendes"/>
    <x v="1"/>
    <d v="2024-03-04T00:00:00"/>
    <x v="0"/>
    <n v="5"/>
    <x v="1"/>
    <x v="1"/>
    <x v="1"/>
    <x v="1"/>
    <x v="1"/>
    <x v="1"/>
    <n v="5"/>
  </r>
  <r>
    <x v="8"/>
    <s v="Sofia Almeida"/>
    <x v="0"/>
    <d v="2024-03-05T00:00:00"/>
    <x v="1"/>
    <n v="15"/>
    <x v="0"/>
    <x v="0"/>
    <x v="0"/>
    <x v="0"/>
    <x v="0"/>
    <x v="0"/>
    <n v="60"/>
  </r>
  <r>
    <x v="9"/>
    <s v="Bruno Martins"/>
    <x v="2"/>
    <d v="2024-03-06T00:00:00"/>
    <x v="0"/>
    <n v="10"/>
    <x v="2"/>
    <x v="1"/>
    <x v="1"/>
    <x v="0"/>
    <x v="0"/>
    <x v="6"/>
    <n v="15"/>
  </r>
  <r>
    <x v="10"/>
    <s v="Rita Castro"/>
    <x v="1"/>
    <d v="2024-03-07T00:00:00"/>
    <x v="1"/>
    <n v="5"/>
    <x v="0"/>
    <x v="1"/>
    <x v="1"/>
    <x v="1"/>
    <x v="1"/>
    <x v="4"/>
    <n v="4"/>
  </r>
  <r>
    <x v="11"/>
    <s v="Marco Túlio"/>
    <x v="0"/>
    <d v="2024-03-08T00:00:00"/>
    <x v="0"/>
    <n v="15"/>
    <x v="1"/>
    <x v="0"/>
    <x v="0"/>
    <x v="0"/>
    <x v="0"/>
    <x v="7"/>
    <n v="45"/>
  </r>
  <r>
    <x v="12"/>
    <s v="Lívia Silveira"/>
    <x v="2"/>
    <d v="2024-03-09T00:00:00"/>
    <x v="1"/>
    <n v="10"/>
    <x v="0"/>
    <x v="1"/>
    <x v="1"/>
    <x v="0"/>
    <x v="0"/>
    <x v="2"/>
    <n v="20"/>
  </r>
  <r>
    <x v="13"/>
    <s v="Diogo Sousa"/>
    <x v="1"/>
    <d v="2024-03-10T00:00:00"/>
    <x v="0"/>
    <n v="5"/>
    <x v="2"/>
    <x v="1"/>
    <x v="1"/>
    <x v="1"/>
    <x v="1"/>
    <x v="1"/>
    <n v="5"/>
  </r>
  <r>
    <x v="14"/>
    <s v="Fernanda Lima"/>
    <x v="0"/>
    <d v="2024-03-11T00:00:00"/>
    <x v="1"/>
    <n v="15"/>
    <x v="0"/>
    <x v="0"/>
    <x v="0"/>
    <x v="0"/>
    <x v="0"/>
    <x v="8"/>
    <n v="57"/>
  </r>
  <r>
    <x v="15"/>
    <s v="Caio Pereira"/>
    <x v="2"/>
    <d v="2024-03-12T00:00:00"/>
    <x v="0"/>
    <n v="10"/>
    <x v="1"/>
    <x v="1"/>
    <x v="1"/>
    <x v="0"/>
    <x v="0"/>
    <x v="9"/>
    <n v="18"/>
  </r>
  <r>
    <x v="16"/>
    <s v="Beatriz Gomes"/>
    <x v="1"/>
    <d v="2024-03-13T00:00:00"/>
    <x v="1"/>
    <n v="5"/>
    <x v="0"/>
    <x v="1"/>
    <x v="1"/>
    <x v="1"/>
    <x v="1"/>
    <x v="5"/>
    <n v="3"/>
  </r>
  <r>
    <x v="17"/>
    <s v="Cesar Oliveira"/>
    <x v="0"/>
    <d v="2024-03-14T00:00:00"/>
    <x v="0"/>
    <n v="15"/>
    <x v="2"/>
    <x v="0"/>
    <x v="0"/>
    <x v="0"/>
    <x v="0"/>
    <x v="10"/>
    <n v="58"/>
  </r>
  <r>
    <x v="18"/>
    <s v="Débora Machado"/>
    <x v="2"/>
    <d v="2024-03-15T00:00:00"/>
    <x v="1"/>
    <n v="10"/>
    <x v="0"/>
    <x v="1"/>
    <x v="1"/>
    <x v="0"/>
    <x v="0"/>
    <x v="0"/>
    <n v="25"/>
  </r>
  <r>
    <x v="19"/>
    <s v="Eduardo Vargas"/>
    <x v="1"/>
    <d v="2024-03-16T00:00:00"/>
    <x v="0"/>
    <n v="5"/>
    <x v="1"/>
    <x v="1"/>
    <x v="1"/>
    <x v="1"/>
    <x v="1"/>
    <x v="1"/>
    <n v="5"/>
  </r>
  <r>
    <x v="20"/>
    <s v="Gabriela Santos"/>
    <x v="0"/>
    <d v="2024-03-17T00:00:00"/>
    <x v="1"/>
    <n v="15"/>
    <x v="0"/>
    <x v="0"/>
    <x v="0"/>
    <x v="0"/>
    <x v="0"/>
    <x v="3"/>
    <n v="62"/>
  </r>
  <r>
    <x v="21"/>
    <s v="Henrique Dias"/>
    <x v="2"/>
    <d v="2024-03-18T00:00:00"/>
    <x v="0"/>
    <n v="10"/>
    <x v="2"/>
    <x v="1"/>
    <x v="1"/>
    <x v="0"/>
    <x v="0"/>
    <x v="6"/>
    <n v="15"/>
  </r>
  <r>
    <x v="22"/>
    <s v="Isabela Moreira"/>
    <x v="1"/>
    <d v="2024-03-19T00:00:00"/>
    <x v="1"/>
    <n v="5"/>
    <x v="0"/>
    <x v="1"/>
    <x v="1"/>
    <x v="1"/>
    <x v="1"/>
    <x v="4"/>
    <n v="4"/>
  </r>
  <r>
    <x v="23"/>
    <s v="Joaquim Barbosa"/>
    <x v="0"/>
    <d v="2024-03-20T00:00:00"/>
    <x v="0"/>
    <n v="15"/>
    <x v="1"/>
    <x v="0"/>
    <x v="0"/>
    <x v="0"/>
    <x v="0"/>
    <x v="7"/>
    <n v="45"/>
  </r>
  <r>
    <x v="24"/>
    <s v="Lara Rocha"/>
    <x v="2"/>
    <d v="2024-03-21T00:00:00"/>
    <x v="1"/>
    <n v="10"/>
    <x v="0"/>
    <x v="1"/>
    <x v="1"/>
    <x v="0"/>
    <x v="0"/>
    <x v="2"/>
    <n v="20"/>
  </r>
  <r>
    <x v="25"/>
    <s v="Matheus Silva"/>
    <x v="1"/>
    <d v="2024-03-22T00:00:00"/>
    <x v="0"/>
    <n v="5"/>
    <x v="2"/>
    <x v="1"/>
    <x v="1"/>
    <x v="1"/>
    <x v="1"/>
    <x v="1"/>
    <n v="5"/>
  </r>
  <r>
    <x v="26"/>
    <s v="Nicole Costa"/>
    <x v="0"/>
    <d v="2024-03-23T00:00:00"/>
    <x v="1"/>
    <n v="15"/>
    <x v="0"/>
    <x v="0"/>
    <x v="0"/>
    <x v="0"/>
    <x v="0"/>
    <x v="0"/>
    <n v="60"/>
  </r>
  <r>
    <x v="27"/>
    <s v="Otávio Mendonça"/>
    <x v="2"/>
    <d v="2024-03-24T00:00:00"/>
    <x v="0"/>
    <n v="10"/>
    <x v="1"/>
    <x v="1"/>
    <x v="1"/>
    <x v="0"/>
    <x v="0"/>
    <x v="6"/>
    <n v="15"/>
  </r>
  <r>
    <x v="28"/>
    <s v="Paula Ferreira"/>
    <x v="1"/>
    <d v="2024-03-25T00:00:00"/>
    <x v="1"/>
    <n v="5"/>
    <x v="0"/>
    <x v="1"/>
    <x v="1"/>
    <x v="1"/>
    <x v="1"/>
    <x v="4"/>
    <n v="4"/>
  </r>
  <r>
    <x v="29"/>
    <s v="Raquel Alves"/>
    <x v="0"/>
    <d v="2024-03-26T00:00:00"/>
    <x v="0"/>
    <n v="15"/>
    <x v="2"/>
    <x v="0"/>
    <x v="0"/>
    <x v="0"/>
    <x v="0"/>
    <x v="10"/>
    <n v="58"/>
  </r>
  <r>
    <x v="30"/>
    <s v="Samuel Pires"/>
    <x v="2"/>
    <d v="2024-03-27T00:00:00"/>
    <x v="1"/>
    <n v="10"/>
    <x v="0"/>
    <x v="1"/>
    <x v="1"/>
    <x v="0"/>
    <x v="0"/>
    <x v="2"/>
    <n v="20"/>
  </r>
  <r>
    <x v="31"/>
    <s v="Tânia Barros"/>
    <x v="1"/>
    <d v="2024-03-28T00:00:00"/>
    <x v="0"/>
    <n v="5"/>
    <x v="1"/>
    <x v="1"/>
    <x v="1"/>
    <x v="1"/>
    <x v="1"/>
    <x v="1"/>
    <n v="5"/>
  </r>
  <r>
    <x v="32"/>
    <s v="Vinicius Lima"/>
    <x v="0"/>
    <d v="2024-03-29T00:00:00"/>
    <x v="1"/>
    <n v="15"/>
    <x v="0"/>
    <x v="0"/>
    <x v="0"/>
    <x v="0"/>
    <x v="0"/>
    <x v="3"/>
    <n v="62"/>
  </r>
  <r>
    <x v="33"/>
    <s v="Yasmin Teixeira"/>
    <x v="2"/>
    <d v="2024-03-30T00:00:00"/>
    <x v="0"/>
    <n v="10"/>
    <x v="2"/>
    <x v="1"/>
    <x v="1"/>
    <x v="0"/>
    <x v="0"/>
    <x v="6"/>
    <n v="15"/>
  </r>
  <r>
    <x v="34"/>
    <s v="Zé Carlos"/>
    <x v="1"/>
    <d v="2024-03-31T00:00:00"/>
    <x v="1"/>
    <n v="5"/>
    <x v="0"/>
    <x v="1"/>
    <x v="1"/>
    <x v="1"/>
    <x v="1"/>
    <x v="4"/>
    <n v="4"/>
  </r>
  <r>
    <x v="35"/>
    <s v="Amanda Nogueira"/>
    <x v="1"/>
    <d v="2024-04-01T00:00:00"/>
    <x v="0"/>
    <n v="5"/>
    <x v="0"/>
    <x v="1"/>
    <x v="1"/>
    <x v="1"/>
    <x v="1"/>
    <x v="1"/>
    <n v="5"/>
  </r>
  <r>
    <x v="36"/>
    <s v="Bruno Cavalheiro"/>
    <x v="0"/>
    <d v="2024-04-02T00:00:00"/>
    <x v="1"/>
    <n v="15"/>
    <x v="2"/>
    <x v="0"/>
    <x v="0"/>
    <x v="0"/>
    <x v="0"/>
    <x v="10"/>
    <n v="58"/>
  </r>
  <r>
    <x v="37"/>
    <s v="Carla Dias"/>
    <x v="2"/>
    <d v="2024-04-03T00:00:00"/>
    <x v="0"/>
    <n v="10"/>
    <x v="1"/>
    <x v="1"/>
    <x v="1"/>
    <x v="0"/>
    <x v="0"/>
    <x v="2"/>
    <n v="20"/>
  </r>
  <r>
    <x v="38"/>
    <s v="Diego Fontes"/>
    <x v="1"/>
    <d v="2024-04-04T00:00:00"/>
    <x v="1"/>
    <n v="5"/>
    <x v="2"/>
    <x v="1"/>
    <x v="1"/>
    <x v="1"/>
    <x v="1"/>
    <x v="4"/>
    <n v="4"/>
  </r>
  <r>
    <x v="39"/>
    <s v="Eunice Lima"/>
    <x v="0"/>
    <d v="2024-04-05T00:00:00"/>
    <x v="0"/>
    <n v="15"/>
    <x v="0"/>
    <x v="0"/>
    <x v="0"/>
    <x v="0"/>
    <x v="0"/>
    <x v="6"/>
    <n v="50"/>
  </r>
  <r>
    <x v="40"/>
    <s v="Fábio Martins"/>
    <x v="2"/>
    <d v="2024-04-06T00:00:00"/>
    <x v="1"/>
    <n v="10"/>
    <x v="0"/>
    <x v="1"/>
    <x v="1"/>
    <x v="0"/>
    <x v="0"/>
    <x v="0"/>
    <n v="25"/>
  </r>
  <r>
    <x v="41"/>
    <s v="Gisele Araújo"/>
    <x v="1"/>
    <d v="2024-04-07T00:00:00"/>
    <x v="0"/>
    <n v="5"/>
    <x v="1"/>
    <x v="1"/>
    <x v="1"/>
    <x v="1"/>
    <x v="1"/>
    <x v="1"/>
    <n v="5"/>
  </r>
  <r>
    <x v="42"/>
    <s v="Hélio Castro"/>
    <x v="0"/>
    <d v="2024-04-08T00:00:00"/>
    <x v="1"/>
    <n v="15"/>
    <x v="2"/>
    <x v="0"/>
    <x v="0"/>
    <x v="0"/>
    <x v="0"/>
    <x v="7"/>
    <n v="45"/>
  </r>
  <r>
    <x v="43"/>
    <s v="Ingrid Menezes"/>
    <x v="2"/>
    <d v="2024-04-09T00:00:00"/>
    <x v="0"/>
    <n v="10"/>
    <x v="2"/>
    <x v="1"/>
    <x v="1"/>
    <x v="0"/>
    <x v="0"/>
    <x v="9"/>
    <n v="18"/>
  </r>
  <r>
    <x v="44"/>
    <s v="Jorge Baptista"/>
    <x v="1"/>
    <d v="2024-04-10T00:00:00"/>
    <x v="1"/>
    <n v="5"/>
    <x v="0"/>
    <x v="1"/>
    <x v="1"/>
    <x v="1"/>
    <x v="1"/>
    <x v="5"/>
    <n v="3"/>
  </r>
  <r>
    <x v="45"/>
    <s v="Kléber Oliveira"/>
    <x v="0"/>
    <d v="2024-04-11T00:00:00"/>
    <x v="0"/>
    <n v="15"/>
    <x v="1"/>
    <x v="0"/>
    <x v="0"/>
    <x v="0"/>
    <x v="0"/>
    <x v="0"/>
    <n v="60"/>
  </r>
  <r>
    <x v="46"/>
    <s v="Luciana Freitas"/>
    <x v="2"/>
    <d v="2024-04-12T00:00:00"/>
    <x v="1"/>
    <n v="10"/>
    <x v="0"/>
    <x v="1"/>
    <x v="1"/>
    <x v="0"/>
    <x v="0"/>
    <x v="2"/>
    <n v="20"/>
  </r>
  <r>
    <x v="47"/>
    <s v="Márcia Eller"/>
    <x v="1"/>
    <d v="2024-04-13T00:00:00"/>
    <x v="0"/>
    <n v="5"/>
    <x v="2"/>
    <x v="1"/>
    <x v="1"/>
    <x v="1"/>
    <x v="1"/>
    <x v="1"/>
    <n v="5"/>
  </r>
  <r>
    <x v="48"/>
    <s v="Nilo Peçanha"/>
    <x v="0"/>
    <d v="2024-04-14T00:00:00"/>
    <x v="1"/>
    <n v="15"/>
    <x v="0"/>
    <x v="0"/>
    <x v="0"/>
    <x v="0"/>
    <x v="0"/>
    <x v="3"/>
    <n v="62"/>
  </r>
  <r>
    <x v="49"/>
    <s v="Oscar Neves"/>
    <x v="2"/>
    <d v="2024-04-15T00:00:00"/>
    <x v="0"/>
    <n v="10"/>
    <x v="1"/>
    <x v="1"/>
    <x v="1"/>
    <x v="0"/>
    <x v="0"/>
    <x v="6"/>
    <n v="15"/>
  </r>
  <r>
    <x v="50"/>
    <s v="Patrícia Soares"/>
    <x v="1"/>
    <d v="2024-04-16T00:00:00"/>
    <x v="1"/>
    <n v="5"/>
    <x v="0"/>
    <x v="1"/>
    <x v="1"/>
    <x v="1"/>
    <x v="1"/>
    <x v="4"/>
    <n v="4"/>
  </r>
  <r>
    <x v="51"/>
    <s v="Quirino Gonçalves"/>
    <x v="0"/>
    <d v="2024-04-17T00:00:00"/>
    <x v="0"/>
    <n v="15"/>
    <x v="2"/>
    <x v="0"/>
    <x v="0"/>
    <x v="0"/>
    <x v="0"/>
    <x v="10"/>
    <n v="58"/>
  </r>
  <r>
    <x v="52"/>
    <s v="Raul Machado"/>
    <x v="2"/>
    <d v="2024-04-18T00:00:00"/>
    <x v="1"/>
    <n v="10"/>
    <x v="0"/>
    <x v="1"/>
    <x v="1"/>
    <x v="0"/>
    <x v="0"/>
    <x v="2"/>
    <n v="20"/>
  </r>
  <r>
    <x v="53"/>
    <s v="Sônia Lobo"/>
    <x v="1"/>
    <d v="2024-04-19T00:00:00"/>
    <x v="0"/>
    <n v="5"/>
    <x v="1"/>
    <x v="1"/>
    <x v="1"/>
    <x v="1"/>
    <x v="1"/>
    <x v="1"/>
    <n v="5"/>
  </r>
  <r>
    <x v="54"/>
    <s v="Tiago Ramos"/>
    <x v="0"/>
    <d v="2024-04-20T00:00:00"/>
    <x v="1"/>
    <n v="15"/>
    <x v="0"/>
    <x v="0"/>
    <x v="0"/>
    <x v="0"/>
    <x v="0"/>
    <x v="7"/>
    <n v="45"/>
  </r>
  <r>
    <x v="55"/>
    <s v="Ugo Pires"/>
    <x v="2"/>
    <d v="2024-04-21T00:00:00"/>
    <x v="0"/>
    <n v="10"/>
    <x v="2"/>
    <x v="1"/>
    <x v="1"/>
    <x v="0"/>
    <x v="0"/>
    <x v="6"/>
    <n v="15"/>
  </r>
  <r>
    <x v="56"/>
    <s v="Valéria Nobre"/>
    <x v="1"/>
    <d v="2024-04-22T00:00:00"/>
    <x v="1"/>
    <n v="5"/>
    <x v="0"/>
    <x v="1"/>
    <x v="1"/>
    <x v="1"/>
    <x v="1"/>
    <x v="4"/>
    <n v="4"/>
  </r>
  <r>
    <x v="57"/>
    <s v="William Siqueira"/>
    <x v="0"/>
    <d v="2024-04-23T00:00:00"/>
    <x v="0"/>
    <n v="15"/>
    <x v="1"/>
    <x v="0"/>
    <x v="0"/>
    <x v="0"/>
    <x v="0"/>
    <x v="3"/>
    <n v="62"/>
  </r>
  <r>
    <x v="58"/>
    <s v="Xuxa Meneghel"/>
    <x v="2"/>
    <d v="2024-04-24T00:00:00"/>
    <x v="1"/>
    <n v="10"/>
    <x v="0"/>
    <x v="1"/>
    <x v="1"/>
    <x v="0"/>
    <x v="0"/>
    <x v="2"/>
    <n v="20"/>
  </r>
  <r>
    <x v="59"/>
    <s v="Yara Figueiredo"/>
    <x v="1"/>
    <d v="2024-04-25T00:00:00"/>
    <x v="0"/>
    <n v="5"/>
    <x v="2"/>
    <x v="1"/>
    <x v="1"/>
    <x v="1"/>
    <x v="1"/>
    <x v="1"/>
    <n v="5"/>
  </r>
  <r>
    <x v="60"/>
    <s v="Zacarias Alves"/>
    <x v="0"/>
    <d v="2024-04-26T00:00:00"/>
    <x v="1"/>
    <n v="15"/>
    <x v="0"/>
    <x v="0"/>
    <x v="0"/>
    <x v="0"/>
    <x v="0"/>
    <x v="0"/>
    <n v="60"/>
  </r>
  <r>
    <x v="61"/>
    <s v="Amanda Bynes"/>
    <x v="2"/>
    <d v="2024-04-27T00:00:00"/>
    <x v="0"/>
    <n v="10"/>
    <x v="1"/>
    <x v="1"/>
    <x v="1"/>
    <x v="0"/>
    <x v="0"/>
    <x v="6"/>
    <n v="15"/>
  </r>
  <r>
    <x v="62"/>
    <s v="Bruno Mars"/>
    <x v="1"/>
    <d v="2024-04-28T00:00:00"/>
    <x v="1"/>
    <n v="5"/>
    <x v="0"/>
    <x v="1"/>
    <x v="1"/>
    <x v="1"/>
    <x v="1"/>
    <x v="4"/>
    <n v="4"/>
  </r>
  <r>
    <x v="63"/>
    <s v="Carla Bruni"/>
    <x v="0"/>
    <d v="2024-04-29T00:00:00"/>
    <x v="0"/>
    <n v="15"/>
    <x v="2"/>
    <x v="0"/>
    <x v="0"/>
    <x v="0"/>
    <x v="0"/>
    <x v="7"/>
    <n v="45"/>
  </r>
  <r>
    <x v="64"/>
    <s v="Diego Maradona"/>
    <x v="2"/>
    <d v="2024-04-30T00:00:00"/>
    <x v="1"/>
    <n v="10"/>
    <x v="0"/>
    <x v="1"/>
    <x v="1"/>
    <x v="0"/>
    <x v="0"/>
    <x v="0"/>
    <n v="25"/>
  </r>
  <r>
    <x v="65"/>
    <s v="Estela Marques"/>
    <x v="1"/>
    <d v="2024-05-01T00:00:00"/>
    <x v="1"/>
    <n v="5"/>
    <x v="0"/>
    <x v="1"/>
    <x v="1"/>
    <x v="1"/>
    <x v="1"/>
    <x v="1"/>
    <n v="5"/>
  </r>
  <r>
    <x v="66"/>
    <s v="Fábio Nobre"/>
    <x v="0"/>
    <d v="2024-05-02T00:00:00"/>
    <x v="0"/>
    <n v="15"/>
    <x v="2"/>
    <x v="0"/>
    <x v="0"/>
    <x v="0"/>
    <x v="0"/>
    <x v="10"/>
    <n v="58"/>
  </r>
  <r>
    <x v="67"/>
    <s v="Gabriel Oliveira"/>
    <x v="2"/>
    <d v="2024-05-03T00:00:00"/>
    <x v="1"/>
    <n v="10"/>
    <x v="1"/>
    <x v="1"/>
    <x v="1"/>
    <x v="0"/>
    <x v="0"/>
    <x v="2"/>
    <n v="20"/>
  </r>
  <r>
    <x v="68"/>
    <s v="Helena Santos"/>
    <x v="1"/>
    <d v="2024-05-04T00:00:00"/>
    <x v="0"/>
    <n v="5"/>
    <x v="2"/>
    <x v="1"/>
    <x v="1"/>
    <x v="1"/>
    <x v="1"/>
    <x v="4"/>
    <n v="4"/>
  </r>
  <r>
    <x v="69"/>
    <s v="Ivan Carvalho"/>
    <x v="0"/>
    <d v="2024-05-05T00:00:00"/>
    <x v="1"/>
    <n v="15"/>
    <x v="0"/>
    <x v="0"/>
    <x v="0"/>
    <x v="0"/>
    <x v="0"/>
    <x v="6"/>
    <n v="50"/>
  </r>
  <r>
    <x v="70"/>
    <s v="Júlia Ferreira"/>
    <x v="2"/>
    <d v="2024-05-06T00:00:00"/>
    <x v="0"/>
    <n v="10"/>
    <x v="0"/>
    <x v="1"/>
    <x v="1"/>
    <x v="0"/>
    <x v="0"/>
    <x v="0"/>
    <n v="25"/>
  </r>
  <r>
    <x v="71"/>
    <s v="Karla Alves"/>
    <x v="1"/>
    <d v="2024-05-07T00:00:00"/>
    <x v="1"/>
    <n v="5"/>
    <x v="1"/>
    <x v="1"/>
    <x v="1"/>
    <x v="1"/>
    <x v="1"/>
    <x v="1"/>
    <n v="5"/>
  </r>
  <r>
    <x v="72"/>
    <s v="Lucas Mendes"/>
    <x v="0"/>
    <d v="2024-05-08T00:00:00"/>
    <x v="0"/>
    <n v="15"/>
    <x v="2"/>
    <x v="0"/>
    <x v="0"/>
    <x v="0"/>
    <x v="0"/>
    <x v="7"/>
    <n v="45"/>
  </r>
  <r>
    <x v="73"/>
    <s v="Mônica Gomes"/>
    <x v="2"/>
    <d v="2024-05-09T00:00:00"/>
    <x v="1"/>
    <n v="10"/>
    <x v="2"/>
    <x v="1"/>
    <x v="1"/>
    <x v="0"/>
    <x v="0"/>
    <x v="9"/>
    <n v="18"/>
  </r>
  <r>
    <x v="74"/>
    <s v="Norberto Queiroz"/>
    <x v="1"/>
    <d v="2024-05-10T00:00:00"/>
    <x v="0"/>
    <n v="5"/>
    <x v="0"/>
    <x v="1"/>
    <x v="1"/>
    <x v="1"/>
    <x v="1"/>
    <x v="5"/>
    <n v="3"/>
  </r>
  <r>
    <x v="75"/>
    <s v="Otávio Barros"/>
    <x v="0"/>
    <d v="2024-05-11T00:00:00"/>
    <x v="1"/>
    <n v="15"/>
    <x v="1"/>
    <x v="0"/>
    <x v="0"/>
    <x v="0"/>
    <x v="0"/>
    <x v="0"/>
    <n v="60"/>
  </r>
  <r>
    <x v="76"/>
    <s v="Paula Vieira"/>
    <x v="2"/>
    <d v="2024-05-12T00:00:00"/>
    <x v="0"/>
    <n v="10"/>
    <x v="0"/>
    <x v="1"/>
    <x v="1"/>
    <x v="0"/>
    <x v="0"/>
    <x v="2"/>
    <n v="20"/>
  </r>
  <r>
    <x v="77"/>
    <s v="Quentin Ramos"/>
    <x v="1"/>
    <d v="2024-05-13T00:00:00"/>
    <x v="1"/>
    <n v="5"/>
    <x v="2"/>
    <x v="1"/>
    <x v="1"/>
    <x v="1"/>
    <x v="1"/>
    <x v="1"/>
    <n v="5"/>
  </r>
  <r>
    <x v="78"/>
    <s v="Raquel Novaes"/>
    <x v="0"/>
    <d v="2024-05-14T00:00:00"/>
    <x v="0"/>
    <n v="15"/>
    <x v="0"/>
    <x v="0"/>
    <x v="0"/>
    <x v="0"/>
    <x v="0"/>
    <x v="3"/>
    <n v="62"/>
  </r>
  <r>
    <x v="79"/>
    <s v="Samantha Lopes"/>
    <x v="2"/>
    <d v="2024-05-15T00:00:00"/>
    <x v="1"/>
    <n v="10"/>
    <x v="1"/>
    <x v="1"/>
    <x v="1"/>
    <x v="0"/>
    <x v="0"/>
    <x v="6"/>
    <n v="15"/>
  </r>
  <r>
    <x v="80"/>
    <s v="Tiago Martins"/>
    <x v="1"/>
    <d v="2024-05-16T00:00:00"/>
    <x v="0"/>
    <n v="5"/>
    <x v="0"/>
    <x v="1"/>
    <x v="1"/>
    <x v="1"/>
    <x v="1"/>
    <x v="4"/>
    <n v="4"/>
  </r>
  <r>
    <x v="81"/>
    <s v="Ulysses Guimarães"/>
    <x v="0"/>
    <d v="2024-05-17T00:00:00"/>
    <x v="1"/>
    <n v="15"/>
    <x v="2"/>
    <x v="0"/>
    <x v="0"/>
    <x v="0"/>
    <x v="0"/>
    <x v="10"/>
    <n v="58"/>
  </r>
  <r>
    <x v="82"/>
    <s v="Vanessa Silva"/>
    <x v="2"/>
    <d v="2024-05-18T00:00:00"/>
    <x v="0"/>
    <n v="10"/>
    <x v="0"/>
    <x v="1"/>
    <x v="1"/>
    <x v="0"/>
    <x v="0"/>
    <x v="2"/>
    <n v="20"/>
  </r>
  <r>
    <x v="83"/>
    <s v="William Carneiro"/>
    <x v="1"/>
    <d v="2024-05-19T00:00:00"/>
    <x v="1"/>
    <n v="5"/>
    <x v="1"/>
    <x v="1"/>
    <x v="1"/>
    <x v="1"/>
    <x v="1"/>
    <x v="1"/>
    <n v="5"/>
  </r>
  <r>
    <x v="84"/>
    <s v="Ximena Rocha"/>
    <x v="0"/>
    <d v="2024-05-20T00:00:00"/>
    <x v="0"/>
    <n v="15"/>
    <x v="0"/>
    <x v="0"/>
    <x v="0"/>
    <x v="0"/>
    <x v="0"/>
    <x v="7"/>
    <n v="45"/>
  </r>
  <r>
    <x v="85"/>
    <s v="Yasmin Figueiredo"/>
    <x v="2"/>
    <d v="2024-05-21T00:00:00"/>
    <x v="1"/>
    <n v="10"/>
    <x v="2"/>
    <x v="1"/>
    <x v="1"/>
    <x v="0"/>
    <x v="0"/>
    <x v="6"/>
    <n v="15"/>
  </r>
  <r>
    <x v="86"/>
    <s v="Zara Cunha"/>
    <x v="1"/>
    <d v="2024-05-22T00:00:00"/>
    <x v="0"/>
    <n v="5"/>
    <x v="0"/>
    <x v="1"/>
    <x v="1"/>
    <x v="1"/>
    <x v="1"/>
    <x v="4"/>
    <n v="4"/>
  </r>
  <r>
    <x v="87"/>
    <s v="Alan Teixeira"/>
    <x v="0"/>
    <d v="2024-05-23T00:00:00"/>
    <x v="1"/>
    <n v="15"/>
    <x v="1"/>
    <x v="0"/>
    <x v="0"/>
    <x v="0"/>
    <x v="0"/>
    <x v="3"/>
    <n v="62"/>
  </r>
  <r>
    <x v="88"/>
    <s v="Bárbara Oliveira"/>
    <x v="2"/>
    <d v="2024-05-24T00:00:00"/>
    <x v="0"/>
    <n v="10"/>
    <x v="0"/>
    <x v="1"/>
    <x v="1"/>
    <x v="0"/>
    <x v="0"/>
    <x v="2"/>
    <n v="20"/>
  </r>
  <r>
    <x v="89"/>
    <s v="Carlos Junqueira"/>
    <x v="1"/>
    <d v="2024-05-25T00:00:00"/>
    <x v="1"/>
    <n v="5"/>
    <x v="2"/>
    <x v="1"/>
    <x v="1"/>
    <x v="1"/>
    <x v="1"/>
    <x v="1"/>
    <n v="5"/>
  </r>
  <r>
    <x v="90"/>
    <s v="Daniela Moura"/>
    <x v="0"/>
    <d v="2024-05-26T00:00:00"/>
    <x v="0"/>
    <n v="15"/>
    <x v="0"/>
    <x v="0"/>
    <x v="0"/>
    <x v="0"/>
    <x v="0"/>
    <x v="0"/>
    <n v="60"/>
  </r>
  <r>
    <x v="91"/>
    <s v="Eduardo Lima"/>
    <x v="2"/>
    <d v="2024-05-27T00:00:00"/>
    <x v="1"/>
    <n v="10"/>
    <x v="1"/>
    <x v="1"/>
    <x v="1"/>
    <x v="0"/>
    <x v="0"/>
    <x v="6"/>
    <n v="15"/>
  </r>
  <r>
    <x v="92"/>
    <s v="Fabiana Araújo"/>
    <x v="1"/>
    <d v="2024-05-28T00:00:00"/>
    <x v="0"/>
    <n v="5"/>
    <x v="0"/>
    <x v="1"/>
    <x v="1"/>
    <x v="1"/>
    <x v="1"/>
    <x v="4"/>
    <n v="4"/>
  </r>
  <r>
    <x v="93"/>
    <s v="Geraldo Ribeiro"/>
    <x v="0"/>
    <d v="2024-05-29T00:00:00"/>
    <x v="1"/>
    <n v="15"/>
    <x v="2"/>
    <x v="0"/>
    <x v="0"/>
    <x v="0"/>
    <x v="0"/>
    <x v="7"/>
    <n v="45"/>
  </r>
  <r>
    <x v="94"/>
    <s v="Héctor Vargas"/>
    <x v="2"/>
    <d v="2024-05-30T00:00:00"/>
    <x v="0"/>
    <n v="10"/>
    <x v="2"/>
    <x v="1"/>
    <x v="1"/>
    <x v="0"/>
    <x v="0"/>
    <x v="6"/>
    <n v="15"/>
  </r>
  <r>
    <x v="95"/>
    <s v="Isabela Fonseca"/>
    <x v="1"/>
    <d v="2024-05-31T00:00:00"/>
    <x v="1"/>
    <n v="5"/>
    <x v="1"/>
    <x v="1"/>
    <x v="1"/>
    <x v="1"/>
    <x v="1"/>
    <x v="1"/>
    <n v="5"/>
  </r>
  <r>
    <x v="96"/>
    <s v="João Pedro Almeida"/>
    <x v="0"/>
    <d v="2024-06-01T00:00:00"/>
    <x v="0"/>
    <n v="15"/>
    <x v="0"/>
    <x v="0"/>
    <x v="0"/>
    <x v="0"/>
    <x v="0"/>
    <x v="10"/>
    <n v="58"/>
  </r>
  <r>
    <x v="97"/>
    <s v="Klara Costa"/>
    <x v="2"/>
    <d v="2024-06-02T00:00:00"/>
    <x v="1"/>
    <n v="10"/>
    <x v="1"/>
    <x v="1"/>
    <x v="1"/>
    <x v="0"/>
    <x v="0"/>
    <x v="2"/>
    <n v="20"/>
  </r>
  <r>
    <x v="98"/>
    <s v="Luciana Mendes"/>
    <x v="1"/>
    <d v="2024-06-03T00:00:00"/>
    <x v="0"/>
    <n v="5"/>
    <x v="2"/>
    <x v="1"/>
    <x v="1"/>
    <x v="1"/>
    <x v="1"/>
    <x v="4"/>
    <n v="4"/>
  </r>
  <r>
    <x v="99"/>
    <s v="Marcelo Gouveia"/>
    <x v="0"/>
    <d v="2024-06-04T00:00:00"/>
    <x v="1"/>
    <n v="15"/>
    <x v="0"/>
    <x v="0"/>
    <x v="0"/>
    <x v="0"/>
    <x v="0"/>
    <x v="6"/>
    <n v="50"/>
  </r>
  <r>
    <x v="100"/>
    <s v="Nívea Borges"/>
    <x v="2"/>
    <d v="2024-06-05T00:00:00"/>
    <x v="0"/>
    <n v="10"/>
    <x v="0"/>
    <x v="1"/>
    <x v="1"/>
    <x v="0"/>
    <x v="0"/>
    <x v="0"/>
    <n v="25"/>
  </r>
  <r>
    <x v="101"/>
    <s v="Oscar Nogueira"/>
    <x v="1"/>
    <d v="2024-06-06T00:00:00"/>
    <x v="1"/>
    <n v="5"/>
    <x v="1"/>
    <x v="1"/>
    <x v="1"/>
    <x v="1"/>
    <x v="1"/>
    <x v="1"/>
    <n v="5"/>
  </r>
  <r>
    <x v="102"/>
    <s v="Patrícia Alves"/>
    <x v="0"/>
    <d v="2024-06-07T00:00:00"/>
    <x v="0"/>
    <n v="15"/>
    <x v="2"/>
    <x v="0"/>
    <x v="0"/>
    <x v="0"/>
    <x v="0"/>
    <x v="7"/>
    <n v="45"/>
  </r>
  <r>
    <x v="103"/>
    <s v="Rafaela Silva"/>
    <x v="2"/>
    <d v="2024-06-08T00:00:00"/>
    <x v="1"/>
    <n v="10"/>
    <x v="2"/>
    <x v="1"/>
    <x v="1"/>
    <x v="0"/>
    <x v="0"/>
    <x v="9"/>
    <n v="18"/>
  </r>
  <r>
    <x v="104"/>
    <s v="Samantha Moraes"/>
    <x v="1"/>
    <d v="2024-06-09T00:00:00"/>
    <x v="0"/>
    <n v="5"/>
    <x v="0"/>
    <x v="1"/>
    <x v="1"/>
    <x v="1"/>
    <x v="1"/>
    <x v="5"/>
    <n v="3"/>
  </r>
  <r>
    <x v="105"/>
    <s v="Tatiana Rocha"/>
    <x v="1"/>
    <d v="2024-06-10T00:00:00"/>
    <x v="0"/>
    <n v="5"/>
    <x v="0"/>
    <x v="1"/>
    <x v="1"/>
    <x v="1"/>
    <x v="1"/>
    <x v="1"/>
    <n v="5"/>
  </r>
  <r>
    <x v="106"/>
    <s v="Ulisses Tavares"/>
    <x v="0"/>
    <d v="2024-06-11T00:00:00"/>
    <x v="1"/>
    <n v="15"/>
    <x v="2"/>
    <x v="0"/>
    <x v="0"/>
    <x v="0"/>
    <x v="0"/>
    <x v="10"/>
    <n v="58"/>
  </r>
  <r>
    <x v="107"/>
    <s v="Víctor Lemos"/>
    <x v="2"/>
    <d v="2024-06-12T00:00:00"/>
    <x v="0"/>
    <n v="10"/>
    <x v="1"/>
    <x v="1"/>
    <x v="1"/>
    <x v="0"/>
    <x v="0"/>
    <x v="2"/>
    <n v="20"/>
  </r>
  <r>
    <x v="108"/>
    <s v="Wilma Barros"/>
    <x v="1"/>
    <d v="2024-06-13T00:00:00"/>
    <x v="1"/>
    <n v="5"/>
    <x v="2"/>
    <x v="1"/>
    <x v="1"/>
    <x v="1"/>
    <x v="1"/>
    <x v="4"/>
    <n v="4"/>
  </r>
  <r>
    <x v="109"/>
    <s v="Xavier Nascimento"/>
    <x v="0"/>
    <d v="2024-06-14T00:00:00"/>
    <x v="0"/>
    <n v="15"/>
    <x v="0"/>
    <x v="0"/>
    <x v="0"/>
    <x v="0"/>
    <x v="0"/>
    <x v="6"/>
    <n v="50"/>
  </r>
  <r>
    <x v="110"/>
    <s v="Yago Pereira"/>
    <x v="2"/>
    <d v="2024-06-15T00:00:00"/>
    <x v="1"/>
    <n v="10"/>
    <x v="0"/>
    <x v="1"/>
    <x v="1"/>
    <x v="0"/>
    <x v="0"/>
    <x v="0"/>
    <n v="25"/>
  </r>
  <r>
    <x v="111"/>
    <s v="Zilda Ferreira"/>
    <x v="1"/>
    <d v="2024-06-16T00:00:00"/>
    <x v="0"/>
    <n v="5"/>
    <x v="1"/>
    <x v="1"/>
    <x v="1"/>
    <x v="1"/>
    <x v="1"/>
    <x v="1"/>
    <n v="5"/>
  </r>
  <r>
    <x v="112"/>
    <s v="Amanda Lopes"/>
    <x v="0"/>
    <d v="2024-06-17T00:00:00"/>
    <x v="1"/>
    <n v="15"/>
    <x v="2"/>
    <x v="0"/>
    <x v="0"/>
    <x v="0"/>
    <x v="0"/>
    <x v="7"/>
    <n v="45"/>
  </r>
  <r>
    <x v="113"/>
    <s v="Bruno Miranda"/>
    <x v="2"/>
    <d v="2024-06-18T00:00:00"/>
    <x v="0"/>
    <n v="10"/>
    <x v="2"/>
    <x v="1"/>
    <x v="1"/>
    <x v="0"/>
    <x v="0"/>
    <x v="9"/>
    <n v="18"/>
  </r>
  <r>
    <x v="114"/>
    <s v="Célia Torres"/>
    <x v="1"/>
    <d v="2024-06-19T00:00:00"/>
    <x v="1"/>
    <n v="5"/>
    <x v="0"/>
    <x v="1"/>
    <x v="1"/>
    <x v="1"/>
    <x v="1"/>
    <x v="5"/>
    <n v="3"/>
  </r>
  <r>
    <x v="115"/>
    <s v="Diogo Souza"/>
    <x v="0"/>
    <d v="2024-06-20T00:00:00"/>
    <x v="0"/>
    <n v="15"/>
    <x v="1"/>
    <x v="0"/>
    <x v="0"/>
    <x v="0"/>
    <x v="0"/>
    <x v="0"/>
    <n v="60"/>
  </r>
  <r>
    <x v="116"/>
    <s v="Elisa Castro"/>
    <x v="2"/>
    <d v="2024-06-21T00:00:00"/>
    <x v="1"/>
    <n v="10"/>
    <x v="0"/>
    <x v="1"/>
    <x v="1"/>
    <x v="0"/>
    <x v="0"/>
    <x v="2"/>
    <n v="20"/>
  </r>
  <r>
    <x v="117"/>
    <s v="Fátima Lima"/>
    <x v="1"/>
    <d v="2024-06-22T00:00:00"/>
    <x v="0"/>
    <n v="5"/>
    <x v="2"/>
    <x v="1"/>
    <x v="1"/>
    <x v="1"/>
    <x v="1"/>
    <x v="1"/>
    <n v="5"/>
  </r>
  <r>
    <x v="118"/>
    <s v="Geraldo Ribeiro"/>
    <x v="0"/>
    <d v="2024-06-23T00:00:00"/>
    <x v="1"/>
    <n v="15"/>
    <x v="0"/>
    <x v="0"/>
    <x v="0"/>
    <x v="0"/>
    <x v="0"/>
    <x v="3"/>
    <n v="62"/>
  </r>
  <r>
    <x v="119"/>
    <s v="Hélio Martins"/>
    <x v="2"/>
    <d v="2024-06-24T00:00:00"/>
    <x v="0"/>
    <n v="10"/>
    <x v="1"/>
    <x v="1"/>
    <x v="1"/>
    <x v="0"/>
    <x v="0"/>
    <x v="6"/>
    <n v="15"/>
  </r>
  <r>
    <x v="120"/>
    <s v="Íris Santos"/>
    <x v="1"/>
    <d v="2024-06-25T00:00:00"/>
    <x v="1"/>
    <n v="5"/>
    <x v="0"/>
    <x v="1"/>
    <x v="1"/>
    <x v="1"/>
    <x v="1"/>
    <x v="4"/>
    <n v="4"/>
  </r>
  <r>
    <x v="121"/>
    <s v="João Marcelo"/>
    <x v="0"/>
    <d v="2024-06-26T00:00:00"/>
    <x v="0"/>
    <n v="15"/>
    <x v="2"/>
    <x v="0"/>
    <x v="0"/>
    <x v="0"/>
    <x v="0"/>
    <x v="10"/>
    <n v="58"/>
  </r>
  <r>
    <x v="122"/>
    <s v="Larissa Gomes"/>
    <x v="2"/>
    <d v="2024-06-27T00:00:00"/>
    <x v="1"/>
    <n v="10"/>
    <x v="0"/>
    <x v="1"/>
    <x v="1"/>
    <x v="0"/>
    <x v="0"/>
    <x v="2"/>
    <n v="20"/>
  </r>
  <r>
    <x v="123"/>
    <s v="Márcio Silva"/>
    <x v="1"/>
    <d v="2024-06-28T00:00:00"/>
    <x v="0"/>
    <n v="5"/>
    <x v="1"/>
    <x v="1"/>
    <x v="1"/>
    <x v="1"/>
    <x v="1"/>
    <x v="1"/>
    <n v="5"/>
  </r>
  <r>
    <x v="124"/>
    <s v="Nadia Costa"/>
    <x v="0"/>
    <d v="2024-06-29T00:00:00"/>
    <x v="1"/>
    <n v="15"/>
    <x v="0"/>
    <x v="0"/>
    <x v="0"/>
    <x v="0"/>
    <x v="0"/>
    <x v="7"/>
    <n v="45"/>
  </r>
  <r>
    <x v="125"/>
    <s v="Oscar Almeida"/>
    <x v="2"/>
    <d v="2024-06-30T00:00:00"/>
    <x v="0"/>
    <n v="10"/>
    <x v="2"/>
    <x v="1"/>
    <x v="1"/>
    <x v="0"/>
    <x v="0"/>
    <x v="6"/>
    <n v="15"/>
  </r>
  <r>
    <x v="126"/>
    <s v="Patricia Soares"/>
    <x v="1"/>
    <d v="2024-07-01T00:00:00"/>
    <x v="1"/>
    <n v="5"/>
    <x v="0"/>
    <x v="1"/>
    <x v="1"/>
    <x v="1"/>
    <x v="1"/>
    <x v="4"/>
    <n v="4"/>
  </r>
  <r>
    <x v="127"/>
    <s v="Quênia Barros"/>
    <x v="0"/>
    <d v="2024-07-02T00:00:00"/>
    <x v="0"/>
    <n v="15"/>
    <x v="1"/>
    <x v="0"/>
    <x v="0"/>
    <x v="0"/>
    <x v="0"/>
    <x v="3"/>
    <n v="62"/>
  </r>
  <r>
    <x v="128"/>
    <s v="Rafael Torres"/>
    <x v="2"/>
    <d v="2024-07-03T00:00:00"/>
    <x v="1"/>
    <n v="10"/>
    <x v="0"/>
    <x v="1"/>
    <x v="1"/>
    <x v="0"/>
    <x v="0"/>
    <x v="2"/>
    <n v="20"/>
  </r>
  <r>
    <x v="129"/>
    <s v="Silvia Nascimento"/>
    <x v="1"/>
    <d v="2024-07-04T00:00:00"/>
    <x v="0"/>
    <n v="5"/>
    <x v="2"/>
    <x v="1"/>
    <x v="1"/>
    <x v="1"/>
    <x v="1"/>
    <x v="1"/>
    <n v="5"/>
  </r>
  <r>
    <x v="130"/>
    <s v="Tiago Mendes"/>
    <x v="0"/>
    <d v="2024-07-05T00:00:00"/>
    <x v="1"/>
    <n v="15"/>
    <x v="0"/>
    <x v="0"/>
    <x v="0"/>
    <x v="0"/>
    <x v="0"/>
    <x v="6"/>
    <n v="50"/>
  </r>
  <r>
    <x v="131"/>
    <s v="Ursula Silva"/>
    <x v="2"/>
    <d v="2024-07-06T00:00:00"/>
    <x v="0"/>
    <n v="10"/>
    <x v="1"/>
    <x v="1"/>
    <x v="1"/>
    <x v="0"/>
    <x v="0"/>
    <x v="6"/>
    <n v="15"/>
  </r>
  <r>
    <x v="132"/>
    <s v="Vanessa Moraes"/>
    <x v="1"/>
    <d v="2024-07-07T00:00:00"/>
    <x v="1"/>
    <n v="5"/>
    <x v="0"/>
    <x v="1"/>
    <x v="1"/>
    <x v="1"/>
    <x v="1"/>
    <x v="4"/>
    <n v="4"/>
  </r>
  <r>
    <x v="133"/>
    <s v="Waldir Junior"/>
    <x v="0"/>
    <d v="2024-07-08T00:00:00"/>
    <x v="0"/>
    <n v="15"/>
    <x v="2"/>
    <x v="0"/>
    <x v="0"/>
    <x v="0"/>
    <x v="0"/>
    <x v="10"/>
    <n v="58"/>
  </r>
  <r>
    <x v="134"/>
    <s v="Xavier Lopes"/>
    <x v="2"/>
    <d v="2024-07-09T00:00:00"/>
    <x v="1"/>
    <n v="10"/>
    <x v="0"/>
    <x v="1"/>
    <x v="1"/>
    <x v="0"/>
    <x v="0"/>
    <x v="2"/>
    <n v="20"/>
  </r>
  <r>
    <x v="135"/>
    <s v="Yolanda Freitas"/>
    <x v="1"/>
    <d v="2024-07-10T00:00:00"/>
    <x v="0"/>
    <n v="5"/>
    <x v="0"/>
    <x v="1"/>
    <x v="1"/>
    <x v="1"/>
    <x v="1"/>
    <x v="1"/>
    <n v="5"/>
  </r>
  <r>
    <x v="136"/>
    <s v="Zacarias Nunes"/>
    <x v="0"/>
    <d v="2024-07-11T00:00:00"/>
    <x v="1"/>
    <n v="15"/>
    <x v="2"/>
    <x v="0"/>
    <x v="0"/>
    <x v="0"/>
    <x v="0"/>
    <x v="10"/>
    <n v="58"/>
  </r>
  <r>
    <x v="137"/>
    <s v="Ana Clara Barreto"/>
    <x v="2"/>
    <d v="2024-07-12T00:00:00"/>
    <x v="0"/>
    <n v="10"/>
    <x v="1"/>
    <x v="1"/>
    <x v="1"/>
    <x v="0"/>
    <x v="0"/>
    <x v="2"/>
    <n v="20"/>
  </r>
  <r>
    <x v="138"/>
    <s v="Bruno Henrique"/>
    <x v="1"/>
    <d v="2024-07-13T00:00:00"/>
    <x v="1"/>
    <n v="5"/>
    <x v="2"/>
    <x v="1"/>
    <x v="1"/>
    <x v="1"/>
    <x v="1"/>
    <x v="4"/>
    <n v="4"/>
  </r>
  <r>
    <x v="139"/>
    <s v="Carlos Eduardo"/>
    <x v="0"/>
    <d v="2024-07-14T00:00:00"/>
    <x v="0"/>
    <n v="15"/>
    <x v="0"/>
    <x v="0"/>
    <x v="0"/>
    <x v="0"/>
    <x v="0"/>
    <x v="6"/>
    <n v="50"/>
  </r>
  <r>
    <x v="140"/>
    <s v="Débora Lima"/>
    <x v="2"/>
    <d v="2024-07-15T00:00:00"/>
    <x v="1"/>
    <n v="10"/>
    <x v="0"/>
    <x v="1"/>
    <x v="1"/>
    <x v="0"/>
    <x v="0"/>
    <x v="0"/>
    <n v="25"/>
  </r>
  <r>
    <x v="141"/>
    <s v="Elisa Neves"/>
    <x v="1"/>
    <d v="2024-07-16T00:00:00"/>
    <x v="0"/>
    <n v="5"/>
    <x v="1"/>
    <x v="1"/>
    <x v="1"/>
    <x v="1"/>
    <x v="1"/>
    <x v="1"/>
    <n v="5"/>
  </r>
  <r>
    <x v="142"/>
    <s v="Fabiano Gomes"/>
    <x v="0"/>
    <d v="2024-07-17T00:00:00"/>
    <x v="1"/>
    <n v="15"/>
    <x v="2"/>
    <x v="0"/>
    <x v="0"/>
    <x v="0"/>
    <x v="0"/>
    <x v="7"/>
    <n v="45"/>
  </r>
  <r>
    <x v="143"/>
    <s v="Gisele Oliveira"/>
    <x v="2"/>
    <d v="2024-07-18T00:00:00"/>
    <x v="0"/>
    <n v="10"/>
    <x v="2"/>
    <x v="1"/>
    <x v="1"/>
    <x v="0"/>
    <x v="0"/>
    <x v="9"/>
    <n v="18"/>
  </r>
  <r>
    <x v="144"/>
    <s v="Héctor Silva"/>
    <x v="1"/>
    <d v="2024-07-19T00:00:00"/>
    <x v="1"/>
    <n v="5"/>
    <x v="0"/>
    <x v="1"/>
    <x v="1"/>
    <x v="1"/>
    <x v="1"/>
    <x v="5"/>
    <n v="3"/>
  </r>
  <r>
    <x v="145"/>
    <s v="Igor Martins"/>
    <x v="0"/>
    <d v="2024-07-20T00:00:00"/>
    <x v="0"/>
    <n v="15"/>
    <x v="1"/>
    <x v="0"/>
    <x v="0"/>
    <x v="0"/>
    <x v="0"/>
    <x v="0"/>
    <n v="60"/>
  </r>
  <r>
    <x v="146"/>
    <s v="Joana Figueiredo"/>
    <x v="2"/>
    <d v="2024-07-21T00:00:00"/>
    <x v="1"/>
    <n v="10"/>
    <x v="0"/>
    <x v="1"/>
    <x v="1"/>
    <x v="0"/>
    <x v="0"/>
    <x v="2"/>
    <n v="20"/>
  </r>
  <r>
    <x v="147"/>
    <s v="Kleber Machado"/>
    <x v="1"/>
    <d v="2024-07-22T00:00:00"/>
    <x v="0"/>
    <n v="5"/>
    <x v="2"/>
    <x v="1"/>
    <x v="1"/>
    <x v="1"/>
    <x v="1"/>
    <x v="1"/>
    <n v="5"/>
  </r>
  <r>
    <x v="148"/>
    <s v="Luciana Santos"/>
    <x v="0"/>
    <d v="2024-07-23T00:00:00"/>
    <x v="1"/>
    <n v="15"/>
    <x v="0"/>
    <x v="0"/>
    <x v="0"/>
    <x v="0"/>
    <x v="0"/>
    <x v="3"/>
    <n v="62"/>
  </r>
  <r>
    <x v="149"/>
    <s v="Marcos Teixeira"/>
    <x v="2"/>
    <d v="2024-07-24T00:00:00"/>
    <x v="0"/>
    <n v="10"/>
    <x v="1"/>
    <x v="1"/>
    <x v="1"/>
    <x v="0"/>
    <x v="0"/>
    <x v="6"/>
    <n v="15"/>
  </r>
  <r>
    <x v="150"/>
    <s v="Natalia Costa"/>
    <x v="1"/>
    <d v="2024-07-25T00:00:00"/>
    <x v="1"/>
    <n v="5"/>
    <x v="0"/>
    <x v="1"/>
    <x v="1"/>
    <x v="1"/>
    <x v="1"/>
    <x v="4"/>
    <n v="4"/>
  </r>
  <r>
    <x v="151"/>
    <s v="Oscar Ribeiro"/>
    <x v="0"/>
    <d v="2024-07-26T00:00:00"/>
    <x v="0"/>
    <n v="15"/>
    <x v="2"/>
    <x v="0"/>
    <x v="0"/>
    <x v="0"/>
    <x v="0"/>
    <x v="10"/>
    <n v="58"/>
  </r>
  <r>
    <x v="152"/>
    <s v="Patricia Almeida"/>
    <x v="2"/>
    <d v="2024-07-27T00:00:00"/>
    <x v="1"/>
    <n v="10"/>
    <x v="0"/>
    <x v="1"/>
    <x v="1"/>
    <x v="0"/>
    <x v="0"/>
    <x v="2"/>
    <n v="20"/>
  </r>
  <r>
    <x v="153"/>
    <s v="Quirino Junior"/>
    <x v="1"/>
    <d v="2024-07-28T00:00:00"/>
    <x v="0"/>
    <n v="5"/>
    <x v="1"/>
    <x v="1"/>
    <x v="1"/>
    <x v="1"/>
    <x v="1"/>
    <x v="1"/>
    <n v="5"/>
  </r>
  <r>
    <x v="154"/>
    <s v="Renata Machado"/>
    <x v="0"/>
    <d v="2024-07-29T00:00:00"/>
    <x v="1"/>
    <n v="15"/>
    <x v="0"/>
    <x v="0"/>
    <x v="0"/>
    <x v="0"/>
    <x v="0"/>
    <x v="7"/>
    <n v="45"/>
  </r>
  <r>
    <x v="155"/>
    <s v="Sônia Alves"/>
    <x v="2"/>
    <d v="2024-07-30T00:00:00"/>
    <x v="0"/>
    <n v="10"/>
    <x v="2"/>
    <x v="1"/>
    <x v="1"/>
    <x v="0"/>
    <x v="0"/>
    <x v="6"/>
    <n v="15"/>
  </r>
  <r>
    <x v="156"/>
    <s v="Tiago Nunes"/>
    <x v="1"/>
    <d v="2024-07-31T00:00:00"/>
    <x v="1"/>
    <n v="5"/>
    <x v="0"/>
    <x v="1"/>
    <x v="1"/>
    <x v="1"/>
    <x v="1"/>
    <x v="4"/>
    <n v="4"/>
  </r>
  <r>
    <x v="157"/>
    <s v="Ulysses Pereira"/>
    <x v="0"/>
    <d v="2024-08-01T00:00:00"/>
    <x v="0"/>
    <n v="15"/>
    <x v="1"/>
    <x v="0"/>
    <x v="0"/>
    <x v="0"/>
    <x v="0"/>
    <x v="3"/>
    <n v="62"/>
  </r>
  <r>
    <x v="158"/>
    <s v="Vanessa Lima"/>
    <x v="2"/>
    <d v="2024-08-02T00:00:00"/>
    <x v="1"/>
    <n v="10"/>
    <x v="0"/>
    <x v="1"/>
    <x v="1"/>
    <x v="0"/>
    <x v="0"/>
    <x v="2"/>
    <n v="20"/>
  </r>
  <r>
    <x v="159"/>
    <s v="Wagner Santos"/>
    <x v="1"/>
    <d v="2024-08-03T00:00:00"/>
    <x v="0"/>
    <n v="5"/>
    <x v="2"/>
    <x v="1"/>
    <x v="1"/>
    <x v="1"/>
    <x v="1"/>
    <x v="1"/>
    <n v="5"/>
  </r>
  <r>
    <x v="160"/>
    <s v="Xuxa Meneghel"/>
    <x v="0"/>
    <d v="2024-08-04T00:00:00"/>
    <x v="1"/>
    <n v="15"/>
    <x v="0"/>
    <x v="0"/>
    <x v="0"/>
    <x v="0"/>
    <x v="0"/>
    <x v="6"/>
    <n v="50"/>
  </r>
  <r>
    <x v="161"/>
    <s v="Yasmin Silva"/>
    <x v="2"/>
    <d v="2024-08-05T00:00:00"/>
    <x v="0"/>
    <n v="10"/>
    <x v="1"/>
    <x v="1"/>
    <x v="1"/>
    <x v="0"/>
    <x v="0"/>
    <x v="6"/>
    <n v="15"/>
  </r>
  <r>
    <x v="162"/>
    <s v="Zacarias de Souza"/>
    <x v="1"/>
    <d v="2024-08-06T00:00:00"/>
    <x v="1"/>
    <n v="5"/>
    <x v="0"/>
    <x v="1"/>
    <x v="1"/>
    <x v="1"/>
    <x v="1"/>
    <x v="4"/>
    <n v="4"/>
  </r>
  <r>
    <x v="163"/>
    <s v="André Lima"/>
    <x v="0"/>
    <d v="2024-08-07T00:00:00"/>
    <x v="0"/>
    <n v="15"/>
    <x v="2"/>
    <x v="0"/>
    <x v="0"/>
    <x v="0"/>
    <x v="0"/>
    <x v="10"/>
    <n v="58"/>
  </r>
  <r>
    <x v="164"/>
    <s v="Bianca Freitas"/>
    <x v="2"/>
    <d v="2024-08-08T00:00:00"/>
    <x v="1"/>
    <n v="10"/>
    <x v="0"/>
    <x v="1"/>
    <x v="1"/>
    <x v="0"/>
    <x v="0"/>
    <x v="2"/>
    <n v="20"/>
  </r>
  <r>
    <x v="165"/>
    <s v="Caio Mendes"/>
    <x v="1"/>
    <d v="2024-08-09T00:00:00"/>
    <x v="0"/>
    <n v="5"/>
    <x v="1"/>
    <x v="1"/>
    <x v="1"/>
    <x v="1"/>
    <x v="1"/>
    <x v="1"/>
    <n v="5"/>
  </r>
  <r>
    <x v="166"/>
    <s v="Daniela Moura"/>
    <x v="0"/>
    <d v="2024-08-10T00:00:00"/>
    <x v="1"/>
    <n v="15"/>
    <x v="0"/>
    <x v="0"/>
    <x v="0"/>
    <x v="0"/>
    <x v="0"/>
    <x v="7"/>
    <n v="45"/>
  </r>
  <r>
    <x v="167"/>
    <s v="Eduardo Costa"/>
    <x v="2"/>
    <d v="2024-08-11T00:00:00"/>
    <x v="0"/>
    <n v="10"/>
    <x v="2"/>
    <x v="1"/>
    <x v="1"/>
    <x v="0"/>
    <x v="0"/>
    <x v="6"/>
    <n v="15"/>
  </r>
  <r>
    <x v="168"/>
    <s v="Fernanda Gomes"/>
    <x v="1"/>
    <d v="2024-08-12T00:00:00"/>
    <x v="1"/>
    <n v="5"/>
    <x v="0"/>
    <x v="1"/>
    <x v="1"/>
    <x v="1"/>
    <x v="1"/>
    <x v="4"/>
    <n v="4"/>
  </r>
  <r>
    <x v="169"/>
    <s v="Guilherme Souza"/>
    <x v="0"/>
    <d v="2024-08-13T00:00:00"/>
    <x v="0"/>
    <n v="15"/>
    <x v="1"/>
    <x v="0"/>
    <x v="0"/>
    <x v="0"/>
    <x v="0"/>
    <x v="0"/>
    <n v="60"/>
  </r>
  <r>
    <x v="170"/>
    <s v="Helena Ribeiro"/>
    <x v="2"/>
    <d v="2024-08-14T00:00:00"/>
    <x v="1"/>
    <n v="10"/>
    <x v="0"/>
    <x v="1"/>
    <x v="1"/>
    <x v="0"/>
    <x v="0"/>
    <x v="2"/>
    <n v="20"/>
  </r>
  <r>
    <x v="171"/>
    <s v="Igor Santos"/>
    <x v="1"/>
    <d v="2024-08-15T00:00:00"/>
    <x v="0"/>
    <n v="5"/>
    <x v="2"/>
    <x v="1"/>
    <x v="1"/>
    <x v="1"/>
    <x v="1"/>
    <x v="1"/>
    <n v="5"/>
  </r>
  <r>
    <x v="172"/>
    <s v="João Carvalho"/>
    <x v="0"/>
    <d v="2024-08-16T00:00:00"/>
    <x v="1"/>
    <n v="15"/>
    <x v="0"/>
    <x v="0"/>
    <x v="0"/>
    <x v="0"/>
    <x v="0"/>
    <x v="3"/>
    <n v="62"/>
  </r>
  <r>
    <x v="173"/>
    <s v="Klara Fagundes"/>
    <x v="2"/>
    <d v="2024-08-17T00:00:00"/>
    <x v="0"/>
    <n v="10"/>
    <x v="1"/>
    <x v="1"/>
    <x v="1"/>
    <x v="0"/>
    <x v="0"/>
    <x v="6"/>
    <n v="15"/>
  </r>
  <r>
    <x v="174"/>
    <s v="Lúcia Mendonça"/>
    <x v="1"/>
    <d v="2024-08-18T00:00:00"/>
    <x v="1"/>
    <n v="5"/>
    <x v="0"/>
    <x v="1"/>
    <x v="1"/>
    <x v="1"/>
    <x v="1"/>
    <x v="4"/>
    <n v="4"/>
  </r>
  <r>
    <x v="175"/>
    <s v="Marcelo Novaes"/>
    <x v="1"/>
    <d v="2024-08-19T00:00:00"/>
    <x v="0"/>
    <n v="5"/>
    <x v="0"/>
    <x v="1"/>
    <x v="1"/>
    <x v="1"/>
    <x v="1"/>
    <x v="1"/>
    <n v="5"/>
  </r>
  <r>
    <x v="176"/>
    <s v="Nina Pacheco"/>
    <x v="0"/>
    <d v="2024-08-20T00:00:00"/>
    <x v="1"/>
    <n v="15"/>
    <x v="2"/>
    <x v="0"/>
    <x v="0"/>
    <x v="0"/>
    <x v="0"/>
    <x v="10"/>
    <n v="58"/>
  </r>
  <r>
    <x v="177"/>
    <s v="Olívia Rios"/>
    <x v="2"/>
    <d v="2024-08-21T00:00:00"/>
    <x v="0"/>
    <n v="10"/>
    <x v="1"/>
    <x v="1"/>
    <x v="1"/>
    <x v="0"/>
    <x v="0"/>
    <x v="2"/>
    <n v="20"/>
  </r>
  <r>
    <x v="178"/>
    <s v="Paulo Quintana"/>
    <x v="1"/>
    <d v="2024-08-22T00:00:00"/>
    <x v="1"/>
    <n v="5"/>
    <x v="2"/>
    <x v="1"/>
    <x v="1"/>
    <x v="1"/>
    <x v="1"/>
    <x v="4"/>
    <n v="4"/>
  </r>
  <r>
    <x v="179"/>
    <s v="Raquel Domingos"/>
    <x v="0"/>
    <d v="2024-08-23T00:00:00"/>
    <x v="0"/>
    <n v="15"/>
    <x v="0"/>
    <x v="0"/>
    <x v="0"/>
    <x v="0"/>
    <x v="0"/>
    <x v="6"/>
    <n v="50"/>
  </r>
  <r>
    <x v="180"/>
    <s v="Samuel Viana"/>
    <x v="2"/>
    <d v="2024-08-24T00:00:00"/>
    <x v="1"/>
    <n v="10"/>
    <x v="0"/>
    <x v="1"/>
    <x v="1"/>
    <x v="0"/>
    <x v="0"/>
    <x v="0"/>
    <n v="25"/>
  </r>
  <r>
    <x v="181"/>
    <s v="Tatiane Rocha"/>
    <x v="1"/>
    <d v="2024-08-25T00:00:00"/>
    <x v="0"/>
    <n v="5"/>
    <x v="1"/>
    <x v="1"/>
    <x v="1"/>
    <x v="1"/>
    <x v="1"/>
    <x v="1"/>
    <n v="5"/>
  </r>
  <r>
    <x v="182"/>
    <s v="Ulysses Farias"/>
    <x v="0"/>
    <d v="2024-08-26T00:00:00"/>
    <x v="1"/>
    <n v="15"/>
    <x v="2"/>
    <x v="0"/>
    <x v="0"/>
    <x v="0"/>
    <x v="0"/>
    <x v="7"/>
    <n v="45"/>
  </r>
  <r>
    <x v="183"/>
    <s v="Vanessa Moreira"/>
    <x v="2"/>
    <d v="2024-08-27T00:00:00"/>
    <x v="0"/>
    <n v="10"/>
    <x v="2"/>
    <x v="1"/>
    <x v="1"/>
    <x v="0"/>
    <x v="0"/>
    <x v="9"/>
    <n v="18"/>
  </r>
  <r>
    <x v="184"/>
    <s v="William Carvalho"/>
    <x v="1"/>
    <d v="2024-08-28T00:00:00"/>
    <x v="1"/>
    <n v="5"/>
    <x v="0"/>
    <x v="1"/>
    <x v="1"/>
    <x v="1"/>
    <x v="1"/>
    <x v="5"/>
    <n v="3"/>
  </r>
  <r>
    <x v="185"/>
    <s v="Ximena Barros"/>
    <x v="0"/>
    <d v="2024-08-29T00:00:00"/>
    <x v="0"/>
    <n v="15"/>
    <x v="1"/>
    <x v="0"/>
    <x v="0"/>
    <x v="0"/>
    <x v="0"/>
    <x v="0"/>
    <n v="60"/>
  </r>
  <r>
    <x v="186"/>
    <s v="Yara Machado"/>
    <x v="2"/>
    <d v="2024-08-30T00:00:00"/>
    <x v="1"/>
    <n v="10"/>
    <x v="0"/>
    <x v="1"/>
    <x v="1"/>
    <x v="0"/>
    <x v="0"/>
    <x v="2"/>
    <n v="20"/>
  </r>
  <r>
    <x v="187"/>
    <s v="Zacarias Costa"/>
    <x v="1"/>
    <d v="2024-08-31T00:00:00"/>
    <x v="0"/>
    <n v="5"/>
    <x v="2"/>
    <x v="1"/>
    <x v="1"/>
    <x v="1"/>
    <x v="1"/>
    <x v="1"/>
    <n v="5"/>
  </r>
  <r>
    <x v="188"/>
    <s v="André Lopes"/>
    <x v="0"/>
    <d v="2024-09-01T00:00:00"/>
    <x v="1"/>
    <n v="15"/>
    <x v="0"/>
    <x v="0"/>
    <x v="0"/>
    <x v="0"/>
    <x v="0"/>
    <x v="3"/>
    <n v="62"/>
  </r>
  <r>
    <x v="189"/>
    <s v="Beatriz Souza"/>
    <x v="2"/>
    <d v="2024-09-02T00:00:00"/>
    <x v="0"/>
    <n v="10"/>
    <x v="1"/>
    <x v="1"/>
    <x v="1"/>
    <x v="0"/>
    <x v="0"/>
    <x v="6"/>
    <n v="15"/>
  </r>
  <r>
    <x v="190"/>
    <s v="Caio Pereira"/>
    <x v="1"/>
    <d v="2024-09-03T00:00:00"/>
    <x v="1"/>
    <n v="5"/>
    <x v="0"/>
    <x v="1"/>
    <x v="1"/>
    <x v="1"/>
    <x v="1"/>
    <x v="4"/>
    <n v="4"/>
  </r>
  <r>
    <x v="191"/>
    <s v="Daniela Araújo"/>
    <x v="0"/>
    <d v="2024-09-04T00:00:00"/>
    <x v="0"/>
    <n v="15"/>
    <x v="2"/>
    <x v="0"/>
    <x v="0"/>
    <x v="0"/>
    <x v="0"/>
    <x v="10"/>
    <n v="58"/>
  </r>
  <r>
    <x v="192"/>
    <s v="Eduardo Santos"/>
    <x v="2"/>
    <d v="2024-09-05T00:00:00"/>
    <x v="1"/>
    <n v="10"/>
    <x v="0"/>
    <x v="1"/>
    <x v="1"/>
    <x v="0"/>
    <x v="0"/>
    <x v="2"/>
    <n v="20"/>
  </r>
  <r>
    <x v="193"/>
    <s v="Fernanda Lima"/>
    <x v="1"/>
    <d v="2024-09-06T00:00:00"/>
    <x v="0"/>
    <n v="5"/>
    <x v="1"/>
    <x v="1"/>
    <x v="1"/>
    <x v="1"/>
    <x v="1"/>
    <x v="1"/>
    <n v="5"/>
  </r>
  <r>
    <x v="194"/>
    <s v="Gabriel Teixeira"/>
    <x v="0"/>
    <d v="2024-09-07T00:00:00"/>
    <x v="1"/>
    <n v="15"/>
    <x v="0"/>
    <x v="0"/>
    <x v="0"/>
    <x v="0"/>
    <x v="0"/>
    <x v="7"/>
    <n v="45"/>
  </r>
  <r>
    <x v="195"/>
    <s v="Helena Ribeiro"/>
    <x v="2"/>
    <d v="2024-09-08T00:00:00"/>
    <x v="0"/>
    <n v="10"/>
    <x v="2"/>
    <x v="1"/>
    <x v="1"/>
    <x v="0"/>
    <x v="0"/>
    <x v="6"/>
    <n v="15"/>
  </r>
  <r>
    <x v="196"/>
    <s v="Igor Mendes"/>
    <x v="1"/>
    <d v="2024-09-09T00:00:00"/>
    <x v="1"/>
    <n v="5"/>
    <x v="0"/>
    <x v="1"/>
    <x v="1"/>
    <x v="1"/>
    <x v="1"/>
    <x v="4"/>
    <n v="4"/>
  </r>
  <r>
    <x v="197"/>
    <s v="Joana Silveira"/>
    <x v="0"/>
    <d v="2024-09-10T00:00:00"/>
    <x v="0"/>
    <n v="15"/>
    <x v="1"/>
    <x v="0"/>
    <x v="0"/>
    <x v="0"/>
    <x v="0"/>
    <x v="3"/>
    <n v="62"/>
  </r>
  <r>
    <x v="198"/>
    <s v="Lucas Martins"/>
    <x v="2"/>
    <d v="2024-09-11T00:00:00"/>
    <x v="1"/>
    <n v="10"/>
    <x v="0"/>
    <x v="1"/>
    <x v="1"/>
    <x v="0"/>
    <x v="0"/>
    <x v="2"/>
    <n v="20"/>
  </r>
  <r>
    <x v="199"/>
    <s v="Marcela Gouveia"/>
    <x v="1"/>
    <d v="2024-09-12T00:00:00"/>
    <x v="0"/>
    <n v="5"/>
    <x v="2"/>
    <x v="1"/>
    <x v="1"/>
    <x v="1"/>
    <x v="1"/>
    <x v="1"/>
    <n v="5"/>
  </r>
  <r>
    <x v="200"/>
    <s v="Nicolas Borges"/>
    <x v="0"/>
    <d v="2024-09-13T00:00:00"/>
    <x v="1"/>
    <n v="15"/>
    <x v="0"/>
    <x v="0"/>
    <x v="0"/>
    <x v="0"/>
    <x v="0"/>
    <x v="6"/>
    <n v="50"/>
  </r>
  <r>
    <x v="201"/>
    <s v="Olivia Freitas"/>
    <x v="2"/>
    <d v="2024-09-14T00:00:00"/>
    <x v="0"/>
    <n v="10"/>
    <x v="1"/>
    <x v="1"/>
    <x v="1"/>
    <x v="0"/>
    <x v="0"/>
    <x v="6"/>
    <n v="15"/>
  </r>
  <r>
    <x v="202"/>
    <s v="Paulo Nogueira"/>
    <x v="1"/>
    <d v="2024-09-15T00:00:00"/>
    <x v="1"/>
    <n v="5"/>
    <x v="0"/>
    <x v="1"/>
    <x v="1"/>
    <x v="1"/>
    <x v="1"/>
    <x v="4"/>
    <n v="4"/>
  </r>
  <r>
    <x v="203"/>
    <s v="Raquel Andrade"/>
    <x v="0"/>
    <d v="2024-09-16T00:00:00"/>
    <x v="0"/>
    <n v="15"/>
    <x v="2"/>
    <x v="0"/>
    <x v="0"/>
    <x v="0"/>
    <x v="0"/>
    <x v="10"/>
    <n v="58"/>
  </r>
  <r>
    <x v="204"/>
    <s v="Sônia Carvalho"/>
    <x v="2"/>
    <d v="2024-09-17T00:00:00"/>
    <x v="1"/>
    <n v="10"/>
    <x v="0"/>
    <x v="1"/>
    <x v="1"/>
    <x v="0"/>
    <x v="0"/>
    <x v="2"/>
    <n v="20"/>
  </r>
  <r>
    <x v="205"/>
    <s v="Tiago Rodrigues"/>
    <x v="1"/>
    <d v="2024-09-18T00:00:00"/>
    <x v="0"/>
    <n v="5"/>
    <x v="0"/>
    <x v="1"/>
    <x v="1"/>
    <x v="1"/>
    <x v="1"/>
    <x v="1"/>
    <n v="5"/>
  </r>
  <r>
    <x v="206"/>
    <s v="Ursula Monteiro"/>
    <x v="0"/>
    <d v="2024-09-19T00:00:00"/>
    <x v="1"/>
    <n v="15"/>
    <x v="2"/>
    <x v="0"/>
    <x v="0"/>
    <x v="0"/>
    <x v="0"/>
    <x v="10"/>
    <n v="58"/>
  </r>
  <r>
    <x v="207"/>
    <s v="Vanessa Pereira"/>
    <x v="2"/>
    <d v="2024-09-20T00:00:00"/>
    <x v="0"/>
    <n v="10"/>
    <x v="1"/>
    <x v="1"/>
    <x v="1"/>
    <x v="0"/>
    <x v="0"/>
    <x v="2"/>
    <n v="20"/>
  </r>
  <r>
    <x v="208"/>
    <s v="Walter Silva"/>
    <x v="1"/>
    <d v="2024-09-21T00:00:00"/>
    <x v="1"/>
    <n v="5"/>
    <x v="2"/>
    <x v="1"/>
    <x v="1"/>
    <x v="1"/>
    <x v="1"/>
    <x v="4"/>
    <n v="4"/>
  </r>
  <r>
    <x v="209"/>
    <s v="Xavier Almeida"/>
    <x v="0"/>
    <d v="2024-09-22T00:00:00"/>
    <x v="0"/>
    <n v="15"/>
    <x v="0"/>
    <x v="0"/>
    <x v="0"/>
    <x v="0"/>
    <x v="0"/>
    <x v="6"/>
    <n v="50"/>
  </r>
  <r>
    <x v="210"/>
    <s v="Yasmine Correia"/>
    <x v="2"/>
    <d v="2024-09-23T00:00:00"/>
    <x v="1"/>
    <n v="10"/>
    <x v="0"/>
    <x v="1"/>
    <x v="1"/>
    <x v="0"/>
    <x v="0"/>
    <x v="0"/>
    <n v="25"/>
  </r>
  <r>
    <x v="211"/>
    <s v="Zacarias Almeida"/>
    <x v="1"/>
    <d v="2024-09-24T00:00:00"/>
    <x v="0"/>
    <n v="5"/>
    <x v="1"/>
    <x v="1"/>
    <x v="1"/>
    <x v="1"/>
    <x v="1"/>
    <x v="1"/>
    <n v="5"/>
  </r>
  <r>
    <x v="212"/>
    <s v="Amanda Costa"/>
    <x v="0"/>
    <d v="2024-09-25T00:00:00"/>
    <x v="1"/>
    <n v="15"/>
    <x v="2"/>
    <x v="0"/>
    <x v="0"/>
    <x v="0"/>
    <x v="0"/>
    <x v="7"/>
    <n v="45"/>
  </r>
  <r>
    <x v="213"/>
    <s v="Bruno Ferreira"/>
    <x v="2"/>
    <d v="2024-09-26T00:00:00"/>
    <x v="0"/>
    <n v="10"/>
    <x v="2"/>
    <x v="1"/>
    <x v="1"/>
    <x v="0"/>
    <x v="0"/>
    <x v="9"/>
    <n v="18"/>
  </r>
  <r>
    <x v="214"/>
    <s v="Carla Dias"/>
    <x v="1"/>
    <d v="2024-09-27T00:00:00"/>
    <x v="1"/>
    <n v="5"/>
    <x v="0"/>
    <x v="1"/>
    <x v="1"/>
    <x v="1"/>
    <x v="1"/>
    <x v="5"/>
    <n v="3"/>
  </r>
  <r>
    <x v="215"/>
    <s v="Diogo Martins"/>
    <x v="0"/>
    <d v="2024-09-28T00:00:00"/>
    <x v="0"/>
    <n v="15"/>
    <x v="1"/>
    <x v="0"/>
    <x v="0"/>
    <x v="0"/>
    <x v="0"/>
    <x v="0"/>
    <n v="60"/>
  </r>
  <r>
    <x v="216"/>
    <s v="Elisa Campos"/>
    <x v="2"/>
    <d v="2024-09-29T00:00:00"/>
    <x v="1"/>
    <n v="10"/>
    <x v="0"/>
    <x v="1"/>
    <x v="1"/>
    <x v="0"/>
    <x v="0"/>
    <x v="2"/>
    <n v="20"/>
  </r>
  <r>
    <x v="217"/>
    <s v="Fabiana Lima"/>
    <x v="1"/>
    <d v="2024-09-30T00:00:00"/>
    <x v="0"/>
    <n v="5"/>
    <x v="2"/>
    <x v="1"/>
    <x v="1"/>
    <x v="1"/>
    <x v="1"/>
    <x v="1"/>
    <n v="5"/>
  </r>
  <r>
    <x v="218"/>
    <s v="Gabriel Santos"/>
    <x v="0"/>
    <d v="2024-10-01T00:00:00"/>
    <x v="1"/>
    <n v="15"/>
    <x v="0"/>
    <x v="0"/>
    <x v="0"/>
    <x v="0"/>
    <x v="0"/>
    <x v="3"/>
    <n v="62"/>
  </r>
  <r>
    <x v="219"/>
    <s v="Helena Ferreira"/>
    <x v="2"/>
    <d v="2024-10-02T00:00:00"/>
    <x v="0"/>
    <n v="10"/>
    <x v="1"/>
    <x v="1"/>
    <x v="1"/>
    <x v="0"/>
    <x v="0"/>
    <x v="6"/>
    <n v="15"/>
  </r>
  <r>
    <x v="220"/>
    <s v="Ígor Nunes"/>
    <x v="1"/>
    <d v="2024-10-03T00:00:00"/>
    <x v="1"/>
    <n v="5"/>
    <x v="0"/>
    <x v="1"/>
    <x v="1"/>
    <x v="1"/>
    <x v="1"/>
    <x v="4"/>
    <n v="4"/>
  </r>
  <r>
    <x v="221"/>
    <s v="Joana Silveira"/>
    <x v="0"/>
    <d v="2024-10-04T00:00:00"/>
    <x v="0"/>
    <n v="15"/>
    <x v="2"/>
    <x v="0"/>
    <x v="0"/>
    <x v="0"/>
    <x v="0"/>
    <x v="10"/>
    <n v="58"/>
  </r>
  <r>
    <x v="222"/>
    <s v="Kléber Oliveira"/>
    <x v="2"/>
    <d v="2024-10-05T00:00:00"/>
    <x v="1"/>
    <n v="10"/>
    <x v="0"/>
    <x v="1"/>
    <x v="1"/>
    <x v="0"/>
    <x v="0"/>
    <x v="2"/>
    <n v="20"/>
  </r>
  <r>
    <x v="223"/>
    <s v="Luciana Morais"/>
    <x v="1"/>
    <d v="2024-10-06T00:00:00"/>
    <x v="0"/>
    <n v="5"/>
    <x v="1"/>
    <x v="1"/>
    <x v="1"/>
    <x v="1"/>
    <x v="1"/>
    <x v="1"/>
    <n v="5"/>
  </r>
  <r>
    <x v="224"/>
    <s v="Marcos Vinícius"/>
    <x v="0"/>
    <d v="2024-10-07T00:00:00"/>
    <x v="1"/>
    <n v="15"/>
    <x v="0"/>
    <x v="0"/>
    <x v="0"/>
    <x v="0"/>
    <x v="0"/>
    <x v="7"/>
    <n v="45"/>
  </r>
  <r>
    <x v="225"/>
    <s v="Natália Barros"/>
    <x v="2"/>
    <d v="2024-10-08T00:00:00"/>
    <x v="0"/>
    <n v="10"/>
    <x v="2"/>
    <x v="1"/>
    <x v="1"/>
    <x v="0"/>
    <x v="0"/>
    <x v="6"/>
    <n v="15"/>
  </r>
  <r>
    <x v="226"/>
    <s v="Oscar Sampaio"/>
    <x v="1"/>
    <d v="2024-10-09T00:00:00"/>
    <x v="1"/>
    <n v="5"/>
    <x v="0"/>
    <x v="1"/>
    <x v="1"/>
    <x v="1"/>
    <x v="1"/>
    <x v="4"/>
    <n v="4"/>
  </r>
  <r>
    <x v="227"/>
    <s v="Patrícia Leite"/>
    <x v="0"/>
    <d v="2024-10-10T00:00:00"/>
    <x v="0"/>
    <n v="15"/>
    <x v="1"/>
    <x v="0"/>
    <x v="0"/>
    <x v="0"/>
    <x v="0"/>
    <x v="3"/>
    <n v="62"/>
  </r>
  <r>
    <x v="228"/>
    <s v="Quênia Rocha"/>
    <x v="2"/>
    <d v="2024-10-11T00:00:00"/>
    <x v="1"/>
    <n v="10"/>
    <x v="0"/>
    <x v="1"/>
    <x v="1"/>
    <x v="0"/>
    <x v="0"/>
    <x v="2"/>
    <n v="20"/>
  </r>
  <r>
    <x v="229"/>
    <s v="Rafael Torres"/>
    <x v="1"/>
    <d v="2024-10-12T00:00:00"/>
    <x v="0"/>
    <n v="5"/>
    <x v="2"/>
    <x v="1"/>
    <x v="1"/>
    <x v="1"/>
    <x v="1"/>
    <x v="1"/>
    <n v="5"/>
  </r>
  <r>
    <x v="230"/>
    <s v="Sandra Gouveia"/>
    <x v="0"/>
    <d v="2024-10-13T00:00:00"/>
    <x v="1"/>
    <n v="15"/>
    <x v="0"/>
    <x v="0"/>
    <x v="0"/>
    <x v="0"/>
    <x v="0"/>
    <x v="6"/>
    <n v="50"/>
  </r>
  <r>
    <x v="231"/>
    <s v="Tiago Lacerda"/>
    <x v="2"/>
    <d v="2024-10-14T00:00:00"/>
    <x v="0"/>
    <n v="10"/>
    <x v="1"/>
    <x v="1"/>
    <x v="1"/>
    <x v="0"/>
    <x v="0"/>
    <x v="6"/>
    <n v="15"/>
  </r>
  <r>
    <x v="232"/>
    <s v="Ursula Fonseca"/>
    <x v="1"/>
    <d v="2024-10-15T00:00:00"/>
    <x v="1"/>
    <n v="5"/>
    <x v="0"/>
    <x v="1"/>
    <x v="1"/>
    <x v="1"/>
    <x v="1"/>
    <x v="4"/>
    <n v="4"/>
  </r>
  <r>
    <x v="233"/>
    <s v="Vanessa Andrade"/>
    <x v="0"/>
    <d v="2024-10-16T00:00:00"/>
    <x v="0"/>
    <n v="15"/>
    <x v="2"/>
    <x v="0"/>
    <x v="0"/>
    <x v="0"/>
    <x v="0"/>
    <x v="10"/>
    <n v="58"/>
  </r>
  <r>
    <x v="234"/>
    <s v="William Castro"/>
    <x v="2"/>
    <d v="2024-10-17T00:00:00"/>
    <x v="1"/>
    <n v="10"/>
    <x v="0"/>
    <x v="1"/>
    <x v="1"/>
    <x v="0"/>
    <x v="0"/>
    <x v="2"/>
    <n v="20"/>
  </r>
  <r>
    <x v="235"/>
    <s v="Xavier Monteiro"/>
    <x v="1"/>
    <d v="2024-10-18T00:00:00"/>
    <x v="0"/>
    <n v="5"/>
    <x v="1"/>
    <x v="1"/>
    <x v="1"/>
    <x v="1"/>
    <x v="1"/>
    <x v="1"/>
    <n v="5"/>
  </r>
  <r>
    <x v="236"/>
    <s v="Yasmin Figueira"/>
    <x v="0"/>
    <d v="2024-10-19T00:00:00"/>
    <x v="1"/>
    <n v="15"/>
    <x v="0"/>
    <x v="0"/>
    <x v="0"/>
    <x v="0"/>
    <x v="0"/>
    <x v="6"/>
    <n v="50"/>
  </r>
  <r>
    <x v="237"/>
    <s v="Zacarias Mendonça"/>
    <x v="2"/>
    <d v="2024-10-20T00:00:00"/>
    <x v="0"/>
    <n v="10"/>
    <x v="2"/>
    <x v="1"/>
    <x v="1"/>
    <x v="0"/>
    <x v="0"/>
    <x v="9"/>
    <n v="18"/>
  </r>
  <r>
    <x v="238"/>
    <s v="Amanda Menezes"/>
    <x v="1"/>
    <d v="2024-10-21T00:00:00"/>
    <x v="1"/>
    <n v="5"/>
    <x v="0"/>
    <x v="1"/>
    <x v="1"/>
    <x v="1"/>
    <x v="1"/>
    <x v="5"/>
    <n v="3"/>
  </r>
  <r>
    <x v="239"/>
    <s v="Bruno Santos"/>
    <x v="0"/>
    <d v="2024-10-22T00:00:00"/>
    <x v="0"/>
    <n v="15"/>
    <x v="1"/>
    <x v="0"/>
    <x v="0"/>
    <x v="0"/>
    <x v="0"/>
    <x v="0"/>
    <n v="60"/>
  </r>
  <r>
    <x v="240"/>
    <s v="Carla Ferreira"/>
    <x v="2"/>
    <d v="2024-10-23T00:00:00"/>
    <x v="1"/>
    <n v="10"/>
    <x v="0"/>
    <x v="1"/>
    <x v="1"/>
    <x v="0"/>
    <x v="0"/>
    <x v="2"/>
    <n v="20"/>
  </r>
  <r>
    <x v="241"/>
    <s v="Diogo Alves"/>
    <x v="1"/>
    <d v="2024-10-24T00:00:00"/>
    <x v="0"/>
    <n v="5"/>
    <x v="2"/>
    <x v="1"/>
    <x v="1"/>
    <x v="1"/>
    <x v="1"/>
    <x v="1"/>
    <n v="5"/>
  </r>
  <r>
    <x v="242"/>
    <s v="Elisa Neves"/>
    <x v="0"/>
    <d v="2024-10-25T00:00:00"/>
    <x v="1"/>
    <n v="15"/>
    <x v="0"/>
    <x v="0"/>
    <x v="0"/>
    <x v="0"/>
    <x v="0"/>
    <x v="3"/>
    <n v="62"/>
  </r>
  <r>
    <x v="243"/>
    <s v="Fabiano Pires"/>
    <x v="2"/>
    <d v="2024-10-26T00:00:00"/>
    <x v="0"/>
    <n v="10"/>
    <x v="1"/>
    <x v="1"/>
    <x v="1"/>
    <x v="0"/>
    <x v="0"/>
    <x v="6"/>
    <n v="15"/>
  </r>
  <r>
    <x v="244"/>
    <s v="Giovana Ribeiro"/>
    <x v="1"/>
    <d v="2024-10-27T00:00:00"/>
    <x v="1"/>
    <n v="5"/>
    <x v="0"/>
    <x v="1"/>
    <x v="1"/>
    <x v="1"/>
    <x v="1"/>
    <x v="4"/>
    <n v="4"/>
  </r>
  <r>
    <x v="245"/>
    <s v="Hélio Costa"/>
    <x v="0"/>
    <d v="2024-10-28T00:00:00"/>
    <x v="0"/>
    <n v="15"/>
    <x v="2"/>
    <x v="0"/>
    <x v="0"/>
    <x v="0"/>
    <x v="0"/>
    <x v="10"/>
    <n v="58"/>
  </r>
  <r>
    <x v="246"/>
    <s v="Íris Loureiro"/>
    <x v="2"/>
    <d v="2024-10-29T00:00:00"/>
    <x v="1"/>
    <n v="10"/>
    <x v="0"/>
    <x v="1"/>
    <x v="1"/>
    <x v="0"/>
    <x v="0"/>
    <x v="2"/>
    <n v="20"/>
  </r>
  <r>
    <x v="247"/>
    <s v="João Pereira"/>
    <x v="1"/>
    <d v="2024-10-30T00:00:00"/>
    <x v="0"/>
    <n v="5"/>
    <x v="1"/>
    <x v="1"/>
    <x v="1"/>
    <x v="1"/>
    <x v="1"/>
    <x v="1"/>
    <n v="5"/>
  </r>
  <r>
    <x v="248"/>
    <s v="Klara Silva"/>
    <x v="0"/>
    <d v="2024-10-31T00:00:00"/>
    <x v="1"/>
    <n v="15"/>
    <x v="0"/>
    <x v="0"/>
    <x v="0"/>
    <x v="0"/>
    <x v="0"/>
    <x v="7"/>
    <n v="45"/>
  </r>
  <r>
    <x v="249"/>
    <s v="Luciana Barros"/>
    <x v="2"/>
    <d v="2024-11-01T00:00:00"/>
    <x v="0"/>
    <n v="10"/>
    <x v="2"/>
    <x v="1"/>
    <x v="1"/>
    <x v="0"/>
    <x v="0"/>
    <x v="6"/>
    <n v="15"/>
  </r>
  <r>
    <x v="250"/>
    <s v="Marcos Gomes"/>
    <x v="1"/>
    <d v="2024-11-02T00:00:00"/>
    <x v="1"/>
    <n v="5"/>
    <x v="0"/>
    <x v="1"/>
    <x v="1"/>
    <x v="1"/>
    <x v="1"/>
    <x v="4"/>
    <n v="4"/>
  </r>
  <r>
    <x v="251"/>
    <s v="Natália Soares"/>
    <x v="0"/>
    <d v="2024-11-03T00:00:00"/>
    <x v="0"/>
    <n v="15"/>
    <x v="1"/>
    <x v="0"/>
    <x v="0"/>
    <x v="0"/>
    <x v="0"/>
    <x v="3"/>
    <n v="62"/>
  </r>
  <r>
    <x v="252"/>
    <s v="Oscar Machado"/>
    <x v="2"/>
    <d v="2024-11-04T00:00:00"/>
    <x v="1"/>
    <n v="10"/>
    <x v="0"/>
    <x v="1"/>
    <x v="1"/>
    <x v="0"/>
    <x v="0"/>
    <x v="2"/>
    <n v="20"/>
  </r>
  <r>
    <x v="253"/>
    <s v="Patrícia Lima"/>
    <x v="1"/>
    <d v="2024-11-05T00:00:00"/>
    <x v="0"/>
    <n v="5"/>
    <x v="2"/>
    <x v="1"/>
    <x v="1"/>
    <x v="1"/>
    <x v="1"/>
    <x v="1"/>
    <n v="5"/>
  </r>
  <r>
    <x v="254"/>
    <s v="Quirino Neto"/>
    <x v="0"/>
    <d v="2024-11-06T00:00:00"/>
    <x v="1"/>
    <n v="15"/>
    <x v="0"/>
    <x v="0"/>
    <x v="0"/>
    <x v="0"/>
    <x v="0"/>
    <x v="6"/>
    <n v="50"/>
  </r>
  <r>
    <x v="255"/>
    <s v="Rafaela Souza"/>
    <x v="1"/>
    <d v="2024-11-07T00:00:00"/>
    <x v="0"/>
    <n v="5"/>
    <x v="0"/>
    <x v="1"/>
    <x v="1"/>
    <x v="1"/>
    <x v="1"/>
    <x v="1"/>
    <n v="5"/>
  </r>
  <r>
    <x v="256"/>
    <s v="Sandro Almeida"/>
    <x v="0"/>
    <d v="2024-11-08T00:00:00"/>
    <x v="1"/>
    <n v="15"/>
    <x v="2"/>
    <x v="0"/>
    <x v="0"/>
    <x v="0"/>
    <x v="0"/>
    <x v="10"/>
    <n v="58"/>
  </r>
  <r>
    <x v="257"/>
    <s v="Tânia Ribeiro"/>
    <x v="2"/>
    <d v="2024-11-09T00:00:00"/>
    <x v="0"/>
    <n v="10"/>
    <x v="1"/>
    <x v="1"/>
    <x v="1"/>
    <x v="0"/>
    <x v="0"/>
    <x v="2"/>
    <n v="20"/>
  </r>
  <r>
    <x v="258"/>
    <s v="Ugo Dias"/>
    <x v="1"/>
    <d v="2024-11-10T00:00:00"/>
    <x v="1"/>
    <n v="5"/>
    <x v="2"/>
    <x v="1"/>
    <x v="1"/>
    <x v="1"/>
    <x v="1"/>
    <x v="4"/>
    <n v="4"/>
  </r>
  <r>
    <x v="259"/>
    <s v="Valéria Lima"/>
    <x v="0"/>
    <d v="2024-11-11T00:00:00"/>
    <x v="0"/>
    <n v="15"/>
    <x v="0"/>
    <x v="0"/>
    <x v="0"/>
    <x v="0"/>
    <x v="0"/>
    <x v="6"/>
    <n v="50"/>
  </r>
  <r>
    <x v="260"/>
    <s v="William Fernandes"/>
    <x v="2"/>
    <d v="2024-11-12T00:00:00"/>
    <x v="1"/>
    <n v="10"/>
    <x v="0"/>
    <x v="1"/>
    <x v="1"/>
    <x v="0"/>
    <x v="0"/>
    <x v="0"/>
    <n v="25"/>
  </r>
  <r>
    <x v="261"/>
    <s v="Xuxa Mendes"/>
    <x v="1"/>
    <d v="2024-11-13T00:00:00"/>
    <x v="0"/>
    <n v="5"/>
    <x v="1"/>
    <x v="1"/>
    <x v="1"/>
    <x v="1"/>
    <x v="1"/>
    <x v="1"/>
    <n v="5"/>
  </r>
  <r>
    <x v="262"/>
    <s v="Ygor Farias"/>
    <x v="0"/>
    <d v="2024-11-14T00:00:00"/>
    <x v="1"/>
    <n v="15"/>
    <x v="2"/>
    <x v="0"/>
    <x v="0"/>
    <x v="0"/>
    <x v="0"/>
    <x v="7"/>
    <n v="45"/>
  </r>
  <r>
    <x v="263"/>
    <s v="Zilda Barros"/>
    <x v="2"/>
    <d v="2024-11-15T00:00:00"/>
    <x v="0"/>
    <n v="10"/>
    <x v="2"/>
    <x v="1"/>
    <x v="1"/>
    <x v="0"/>
    <x v="0"/>
    <x v="9"/>
    <n v="18"/>
  </r>
  <r>
    <x v="264"/>
    <s v="Amanda Santos"/>
    <x v="1"/>
    <d v="2024-11-16T00:00:00"/>
    <x v="1"/>
    <n v="5"/>
    <x v="0"/>
    <x v="1"/>
    <x v="1"/>
    <x v="1"/>
    <x v="1"/>
    <x v="5"/>
    <n v="3"/>
  </r>
  <r>
    <x v="265"/>
    <s v="Bruno Costa"/>
    <x v="0"/>
    <d v="2024-11-17T00:00:00"/>
    <x v="0"/>
    <n v="15"/>
    <x v="1"/>
    <x v="0"/>
    <x v="0"/>
    <x v="0"/>
    <x v="0"/>
    <x v="0"/>
    <n v="60"/>
  </r>
  <r>
    <x v="266"/>
    <s v="Carla Rodrigues"/>
    <x v="2"/>
    <d v="2024-11-18T00:00:00"/>
    <x v="1"/>
    <n v="10"/>
    <x v="0"/>
    <x v="1"/>
    <x v="1"/>
    <x v="0"/>
    <x v="0"/>
    <x v="2"/>
    <n v="20"/>
  </r>
  <r>
    <x v="267"/>
    <s v="Diogo Pereira"/>
    <x v="1"/>
    <d v="2024-11-19T00:00:00"/>
    <x v="0"/>
    <n v="5"/>
    <x v="2"/>
    <x v="1"/>
    <x v="1"/>
    <x v="1"/>
    <x v="1"/>
    <x v="1"/>
    <n v="5"/>
  </r>
  <r>
    <x v="268"/>
    <s v="Elisa Correia"/>
    <x v="0"/>
    <d v="2024-11-20T00:00:00"/>
    <x v="1"/>
    <n v="15"/>
    <x v="0"/>
    <x v="0"/>
    <x v="0"/>
    <x v="0"/>
    <x v="0"/>
    <x v="3"/>
    <n v="62"/>
  </r>
  <r>
    <x v="269"/>
    <s v="Fábio Lourenço"/>
    <x v="2"/>
    <d v="2024-11-21T00:00:00"/>
    <x v="0"/>
    <n v="10"/>
    <x v="1"/>
    <x v="1"/>
    <x v="1"/>
    <x v="0"/>
    <x v="0"/>
    <x v="6"/>
    <n v="15"/>
  </r>
  <r>
    <x v="270"/>
    <s v="Gabriela Neves"/>
    <x v="1"/>
    <d v="2024-11-22T00:00:00"/>
    <x v="1"/>
    <n v="5"/>
    <x v="0"/>
    <x v="1"/>
    <x v="1"/>
    <x v="1"/>
    <x v="1"/>
    <x v="4"/>
    <n v="4"/>
  </r>
  <r>
    <x v="271"/>
    <s v="Henrique Gonçalves"/>
    <x v="0"/>
    <d v="2024-11-23T00:00:00"/>
    <x v="0"/>
    <n v="15"/>
    <x v="2"/>
    <x v="0"/>
    <x v="0"/>
    <x v="0"/>
    <x v="0"/>
    <x v="10"/>
    <n v="58"/>
  </r>
  <r>
    <x v="272"/>
    <s v="Íris Santos"/>
    <x v="2"/>
    <d v="2024-11-24T00:00:00"/>
    <x v="1"/>
    <n v="10"/>
    <x v="0"/>
    <x v="1"/>
    <x v="1"/>
    <x v="0"/>
    <x v="0"/>
    <x v="2"/>
    <n v="20"/>
  </r>
  <r>
    <x v="273"/>
    <s v="João Marcelo Alves"/>
    <x v="1"/>
    <d v="2024-11-25T00:00:00"/>
    <x v="0"/>
    <n v="5"/>
    <x v="1"/>
    <x v="1"/>
    <x v="1"/>
    <x v="1"/>
    <x v="1"/>
    <x v="1"/>
    <n v="5"/>
  </r>
  <r>
    <x v="274"/>
    <s v="Klara Fonseca"/>
    <x v="0"/>
    <d v="2024-11-26T00:00:00"/>
    <x v="1"/>
    <n v="15"/>
    <x v="0"/>
    <x v="0"/>
    <x v="0"/>
    <x v="0"/>
    <x v="0"/>
    <x v="7"/>
    <n v="45"/>
  </r>
  <r>
    <x v="275"/>
    <s v="Lucas Mendonça"/>
    <x v="2"/>
    <d v="2024-11-27T00:00:00"/>
    <x v="0"/>
    <n v="10"/>
    <x v="2"/>
    <x v="1"/>
    <x v="1"/>
    <x v="0"/>
    <x v="0"/>
    <x v="6"/>
    <n v="15"/>
  </r>
  <r>
    <x v="276"/>
    <s v="Marcela Torres"/>
    <x v="1"/>
    <d v="2024-11-28T00:00:00"/>
    <x v="1"/>
    <n v="5"/>
    <x v="0"/>
    <x v="1"/>
    <x v="1"/>
    <x v="1"/>
    <x v="1"/>
    <x v="4"/>
    <n v="4"/>
  </r>
  <r>
    <x v="277"/>
    <s v="Natália Castro"/>
    <x v="0"/>
    <d v="2024-11-29T00:00:00"/>
    <x v="0"/>
    <n v="15"/>
    <x v="1"/>
    <x v="0"/>
    <x v="0"/>
    <x v="0"/>
    <x v="0"/>
    <x v="3"/>
    <n v="62"/>
  </r>
  <r>
    <x v="278"/>
    <s v="Oscar Martins"/>
    <x v="2"/>
    <d v="2024-11-30T00:00:00"/>
    <x v="1"/>
    <n v="10"/>
    <x v="0"/>
    <x v="1"/>
    <x v="1"/>
    <x v="0"/>
    <x v="0"/>
    <x v="2"/>
    <n v="20"/>
  </r>
  <r>
    <x v="279"/>
    <s v="Patrícia Oliveira"/>
    <x v="1"/>
    <d v="2024-12-01T00:00:00"/>
    <x v="0"/>
    <n v="5"/>
    <x v="2"/>
    <x v="1"/>
    <x v="1"/>
    <x v="1"/>
    <x v="1"/>
    <x v="1"/>
    <n v="5"/>
  </r>
  <r>
    <x v="280"/>
    <s v="Quentin Nogueira"/>
    <x v="0"/>
    <d v="2024-12-02T00:00:00"/>
    <x v="1"/>
    <n v="15"/>
    <x v="0"/>
    <x v="0"/>
    <x v="0"/>
    <x v="0"/>
    <x v="0"/>
    <x v="6"/>
    <n v="50"/>
  </r>
  <r>
    <x v="281"/>
    <s v="Raquel Silva"/>
    <x v="2"/>
    <d v="2024-12-03T00:00:00"/>
    <x v="0"/>
    <n v="10"/>
    <x v="1"/>
    <x v="1"/>
    <x v="1"/>
    <x v="0"/>
    <x v="0"/>
    <x v="6"/>
    <n v="15"/>
  </r>
  <r>
    <x v="282"/>
    <s v="Sandro Gomes"/>
    <x v="1"/>
    <d v="2024-12-04T00:00:00"/>
    <x v="1"/>
    <n v="5"/>
    <x v="0"/>
    <x v="1"/>
    <x v="1"/>
    <x v="1"/>
    <x v="1"/>
    <x v="4"/>
    <n v="4"/>
  </r>
  <r>
    <x v="283"/>
    <s v="Tânia Machado"/>
    <x v="0"/>
    <d v="2024-12-05T00:00:00"/>
    <x v="0"/>
    <n v="15"/>
    <x v="2"/>
    <x v="0"/>
    <x v="0"/>
    <x v="0"/>
    <x v="0"/>
    <x v="10"/>
    <n v="58"/>
  </r>
  <r>
    <x v="284"/>
    <s v="Ursula Silva"/>
    <x v="2"/>
    <d v="2024-12-06T00:00:00"/>
    <x v="1"/>
    <n v="10"/>
    <x v="0"/>
    <x v="1"/>
    <x v="1"/>
    <x v="0"/>
    <x v="0"/>
    <x v="2"/>
    <n v="20"/>
  </r>
  <r>
    <x v="285"/>
    <s v="Vanessa Moraes"/>
    <x v="1"/>
    <d v="2024-12-07T00:00:00"/>
    <x v="0"/>
    <n v="5"/>
    <x v="1"/>
    <x v="1"/>
    <x v="1"/>
    <x v="1"/>
    <x v="1"/>
    <x v="1"/>
    <n v="5"/>
  </r>
  <r>
    <x v="286"/>
    <s v="William Carvalho"/>
    <x v="0"/>
    <d v="2024-12-08T00:00:00"/>
    <x v="1"/>
    <n v="15"/>
    <x v="0"/>
    <x v="0"/>
    <x v="0"/>
    <x v="0"/>
    <x v="0"/>
    <x v="7"/>
    <n v="45"/>
  </r>
  <r>
    <x v="287"/>
    <s v="Xavier Reis"/>
    <x v="2"/>
    <d v="2024-12-09T00:00:00"/>
    <x v="0"/>
    <n v="10"/>
    <x v="2"/>
    <x v="1"/>
    <x v="1"/>
    <x v="0"/>
    <x v="0"/>
    <x v="9"/>
    <n v="18"/>
  </r>
  <r>
    <x v="288"/>
    <s v="Yasmin Rocha"/>
    <x v="1"/>
    <d v="2024-12-10T00:00:00"/>
    <x v="1"/>
    <n v="5"/>
    <x v="0"/>
    <x v="1"/>
    <x v="1"/>
    <x v="1"/>
    <x v="1"/>
    <x v="5"/>
    <n v="3"/>
  </r>
  <r>
    <x v="289"/>
    <s v="Zacarias Duarte"/>
    <x v="0"/>
    <d v="2024-12-11T00:00:00"/>
    <x v="0"/>
    <n v="15"/>
    <x v="1"/>
    <x v="0"/>
    <x v="0"/>
    <x v="0"/>
    <x v="0"/>
    <x v="0"/>
    <n v="60"/>
  </r>
  <r>
    <x v="290"/>
    <s v="Amanda Freitas"/>
    <x v="2"/>
    <d v="2024-12-12T00:00:00"/>
    <x v="1"/>
    <n v="10"/>
    <x v="0"/>
    <x v="1"/>
    <x v="1"/>
    <x v="0"/>
    <x v="0"/>
    <x v="2"/>
    <n v="20"/>
  </r>
  <r>
    <x v="291"/>
    <s v="Bruno Almeida"/>
    <x v="1"/>
    <d v="2024-12-13T00:00:00"/>
    <x v="0"/>
    <n v="5"/>
    <x v="2"/>
    <x v="1"/>
    <x v="1"/>
    <x v="1"/>
    <x v="1"/>
    <x v="1"/>
    <n v="5"/>
  </r>
  <r>
    <x v="292"/>
    <s v="Carla Siqueira"/>
    <x v="0"/>
    <d v="2024-12-14T00:00:00"/>
    <x v="1"/>
    <n v="15"/>
    <x v="0"/>
    <x v="0"/>
    <x v="0"/>
    <x v="0"/>
    <x v="0"/>
    <x v="3"/>
    <n v="62"/>
  </r>
  <r>
    <x v="293"/>
    <s v="Diogo Ramos"/>
    <x v="2"/>
    <d v="2024-12-15T00:00:00"/>
    <x v="0"/>
    <n v="10"/>
    <x v="1"/>
    <x v="1"/>
    <x v="1"/>
    <x v="0"/>
    <x v="0"/>
    <x v="6"/>
    <n v="15"/>
  </r>
  <r>
    <x v="294"/>
    <s v="Elisa Magalhães"/>
    <x v="1"/>
    <d v="2024-12-16T00:00:00"/>
    <x v="1"/>
    <n v="5"/>
    <x v="0"/>
    <x v="1"/>
    <x v="1"/>
    <x v="1"/>
    <x v="1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FFCD38-B19F-41FC-B985-398A4CDB5B60}" name="Tabela dinâmica6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K12:L16" firstHeaderRow="1" firstDataRow="1" firstDataCol="1"/>
  <pivotFields count="13">
    <pivotField showAll="0"/>
    <pivotField showAll="0"/>
    <pivotField showAll="0"/>
    <pivotField numFmtId="14" showAll="0"/>
    <pivotField showAll="0"/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D0428-E1D2-4215-A094-4E256BDF4FCC}" name="Tabela dinâmica2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G12:H15" firstHeaderRow="1" firstDataRow="1" firstDataCol="1"/>
  <pivotFields count="13">
    <pivotField dataField="1"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4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24B151-E093-45CA-A2C4-A3A5A0EAACD1}" name="Tabela dinâmica1" cacheId="2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C12:D16" firstHeaderRow="1" firstDataRow="1" firstDataCol="1"/>
  <pivotFields count="13">
    <pivotField dataField="1"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ubscriber ID" fld="0" subtotal="count" baseField="2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blAssinaturas" displayName="tblAssinaturas" ref="A1:N296" totalsRowShown="0" dataDxfId="17">
  <autoFilter ref="A1:N296" xr:uid="{34E0E886-4200-4B36-97B3-63DB74FF40A0}">
    <filterColumn colId="7">
      <filters>
        <filter val="Yes"/>
      </filters>
    </filterColumn>
  </autoFilter>
  <tableColumns count="14">
    <tableColumn id="1" xr3:uid="{C4A90516-688A-46BF-9167-EA16C2A8A652}" name="Subscriber ID" dataDxfId="16"/>
    <tableColumn id="2" xr3:uid="{53DD39D0-2220-4121-9E9D-4EAA7E151C0F}" name="Name" dataDxfId="15"/>
    <tableColumn id="3" xr3:uid="{4F5FF271-4C57-4BE0-8F2C-F82C8551625C}" name="Plan" dataDxfId="14"/>
    <tableColumn id="4" xr3:uid="{8C17EB93-79B9-4E55-B8F7-BEB82F8253E9}" name="Start Date" dataDxfId="13"/>
    <tableColumn id="5" xr3:uid="{48CEDF9B-1689-482A-A828-5CCE7713264A}" name="Auto Renewal" dataDxfId="12"/>
    <tableColumn id="6" xr3:uid="{78B82374-9AA7-4E38-AE4F-78CDE6C83720}" name="Subscription Price" dataDxfId="11" dataCellStyle="Moeda"/>
    <tableColumn id="7" xr3:uid="{F2433F68-AF33-49D0-B1FB-19A396074EDE}" name="Subscription Type" dataDxfId="10"/>
    <tableColumn id="8" xr3:uid="{FD4D9C95-F6E5-4933-9068-A71FF7DF9343}" name="EA Play Season Pass" dataDxfId="9"/>
    <tableColumn id="13" xr3:uid="{978DD0D2-834E-4CE4-A39B-30976086932F}" name="EA Play Season Pass_x000a_Price" dataDxfId="8" dataCellStyle="Moeda"/>
    <tableColumn id="9" xr3:uid="{6E29F111-C395-4580-9DAD-3407D9E8B1A4}" name="Minecraft Season Pass" dataDxfId="7"/>
    <tableColumn id="10" xr3:uid="{EF544EAA-7F25-4FD5-A10E-8E62804DB9E3}" name="Minecraft Season Pass Price" dataDxfId="6" dataCellStyle="Moeda"/>
    <tableColumn id="11" xr3:uid="{7F6EB64A-1F07-4E48-9F0F-AC7D9DCD26F8}" name="Coupon Value" dataDxfId="5" dataCellStyle="Moeda"/>
    <tableColumn id="12" xr3:uid="{2B04ABC8-DE6F-426E-ADC0-D8AFC68CA58E}" name="Total Value" dataDxfId="4" dataCellStyle="Moeda"/>
    <tableColumn id="14" xr3:uid="{5203BC94-B4D0-4959-BF1B-6260E7EFF16D}" name="00/01/1900" dataDxfId="0" dataCellStyle="Moeda">
      <calculatedColumnFormula>IF(tblAssinaturas[[#This Row],[Coupon Value]]&gt;0,"Sim","Não")</calculatedColumnFormula>
    </tableColumn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8" zoomScaleNormal="100" workbookViewId="0">
      <selection activeCell="F27" sqref="F2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N296"/>
  <sheetViews>
    <sheetView topLeftCell="A253" zoomScale="90" zoomScaleNormal="90" workbookViewId="0">
      <selection activeCell="N5" sqref="N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style="22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  <col min="14" max="14" width="11.44140625" customWidth="1"/>
  </cols>
  <sheetData>
    <row r="1" spans="1:14" ht="28.8" x14ac:dyDescent="0.3">
      <c r="A1" s="9" t="s">
        <v>11</v>
      </c>
      <c r="B1" s="9" t="s">
        <v>12</v>
      </c>
      <c r="C1" s="9" t="s">
        <v>13</v>
      </c>
      <c r="D1" s="23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  <c r="N1" s="22" t="s">
        <v>321</v>
      </c>
    </row>
    <row r="2" spans="1:14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  <c r="N2" s="11" t="str">
        <f>IF(tblAssinaturas[[#This Row],[Coupon Value]]&gt;0,"Sim","Não")</f>
        <v>Sim</v>
      </c>
    </row>
    <row r="3" spans="1:14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  <c r="N3" s="11" t="str">
        <f>IF(tblAssinaturas[[#This Row],[Coupon Value]]&gt;0,"Sim","Não")</f>
        <v>Não</v>
      </c>
    </row>
    <row r="4" spans="1:14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  <c r="N4" s="11" t="str">
        <f>IF(tblAssinaturas[[#This Row],[Coupon Value]]&gt;0,"Sim","Não")</f>
        <v>Sim</v>
      </c>
    </row>
    <row r="5" spans="1:14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  <c r="N5" s="11" t="str">
        <f>IF(tblAssinaturas[[#This Row],[Coupon Value]]&gt;0,"Sim","Não")</f>
        <v>Sim</v>
      </c>
    </row>
    <row r="6" spans="1:14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  <c r="N6" s="11" t="str">
        <f>IF(tblAssinaturas[[#This Row],[Coupon Value]]&gt;0,"Sim","Não")</f>
        <v>Sim</v>
      </c>
    </row>
    <row r="7" spans="1:14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  <c r="N7" s="11" t="str">
        <f>IF(tblAssinaturas[[#This Row],[Coupon Value]]&gt;0,"Sim","Não")</f>
        <v>Sim</v>
      </c>
    </row>
    <row r="8" spans="1:14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  <c r="N8" s="11" t="str">
        <f>IF(tblAssinaturas[[#This Row],[Coupon Value]]&gt;0,"Sim","Não")</f>
        <v>Sim</v>
      </c>
    </row>
    <row r="9" spans="1:14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  <c r="N9" s="11" t="str">
        <f>IF(tblAssinaturas[[#This Row],[Coupon Value]]&gt;0,"Sim","Não")</f>
        <v>Não</v>
      </c>
    </row>
    <row r="10" spans="1:14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  <c r="N10" s="11" t="str">
        <f>IF(tblAssinaturas[[#This Row],[Coupon Value]]&gt;0,"Sim","Não")</f>
        <v>Sim</v>
      </c>
    </row>
    <row r="11" spans="1:14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  <c r="N11" s="11" t="str">
        <f>IF(tblAssinaturas[[#This Row],[Coupon Value]]&gt;0,"Sim","Não")</f>
        <v>Sim</v>
      </c>
    </row>
    <row r="12" spans="1:14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  <c r="N12" s="11" t="str">
        <f>IF(tblAssinaturas[[#This Row],[Coupon Value]]&gt;0,"Sim","Não")</f>
        <v>Sim</v>
      </c>
    </row>
    <row r="13" spans="1:14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  <c r="N13" s="11" t="str">
        <f>IF(tblAssinaturas[[#This Row],[Coupon Value]]&gt;0,"Sim","Não")</f>
        <v>Sim</v>
      </c>
    </row>
    <row r="14" spans="1:14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  <c r="N14" s="11" t="str">
        <f>IF(tblAssinaturas[[#This Row],[Coupon Value]]&gt;0,"Sim","Não")</f>
        <v>Sim</v>
      </c>
    </row>
    <row r="15" spans="1:14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  <c r="N15" s="11" t="str">
        <f>IF(tblAssinaturas[[#This Row],[Coupon Value]]&gt;0,"Sim","Não")</f>
        <v>Não</v>
      </c>
    </row>
    <row r="16" spans="1:14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  <c r="N16" s="11" t="str">
        <f>IF(tblAssinaturas[[#This Row],[Coupon Value]]&gt;0,"Sim","Não")</f>
        <v>Sim</v>
      </c>
    </row>
    <row r="17" spans="1:14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  <c r="N17" s="11" t="str">
        <f>IF(tblAssinaturas[[#This Row],[Coupon Value]]&gt;0,"Sim","Não")</f>
        <v>Sim</v>
      </c>
    </row>
    <row r="18" spans="1:14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  <c r="N18" s="11" t="str">
        <f>IF(tblAssinaturas[[#This Row],[Coupon Value]]&gt;0,"Sim","Não")</f>
        <v>Sim</v>
      </c>
    </row>
    <row r="19" spans="1:14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  <c r="N19" s="11" t="str">
        <f>IF(tblAssinaturas[[#This Row],[Coupon Value]]&gt;0,"Sim","Não")</f>
        <v>Sim</v>
      </c>
    </row>
    <row r="20" spans="1:14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  <c r="N20" s="11" t="str">
        <f>IF(tblAssinaturas[[#This Row],[Coupon Value]]&gt;0,"Sim","Não")</f>
        <v>Sim</v>
      </c>
    </row>
    <row r="21" spans="1:14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  <c r="N21" s="11" t="str">
        <f>IF(tblAssinaturas[[#This Row],[Coupon Value]]&gt;0,"Sim","Não")</f>
        <v>Não</v>
      </c>
    </row>
    <row r="22" spans="1:14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  <c r="N22" s="11" t="str">
        <f>IF(tblAssinaturas[[#This Row],[Coupon Value]]&gt;0,"Sim","Não")</f>
        <v>Sim</v>
      </c>
    </row>
    <row r="23" spans="1:14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  <c r="N23" s="11" t="str">
        <f>IF(tblAssinaturas[[#This Row],[Coupon Value]]&gt;0,"Sim","Não")</f>
        <v>Sim</v>
      </c>
    </row>
    <row r="24" spans="1:14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  <c r="N24" s="11" t="str">
        <f>IF(tblAssinaturas[[#This Row],[Coupon Value]]&gt;0,"Sim","Não")</f>
        <v>Sim</v>
      </c>
    </row>
    <row r="25" spans="1:14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  <c r="N25" s="11" t="str">
        <f>IF(tblAssinaturas[[#This Row],[Coupon Value]]&gt;0,"Sim","Não")</f>
        <v>Sim</v>
      </c>
    </row>
    <row r="26" spans="1:14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  <c r="N26" s="11" t="str">
        <f>IF(tblAssinaturas[[#This Row],[Coupon Value]]&gt;0,"Sim","Não")</f>
        <v>Sim</v>
      </c>
    </row>
    <row r="27" spans="1:14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  <c r="N27" s="11" t="str">
        <f>IF(tblAssinaturas[[#This Row],[Coupon Value]]&gt;0,"Sim","Não")</f>
        <v>Não</v>
      </c>
    </row>
    <row r="28" spans="1:14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  <c r="N28" s="11" t="str">
        <f>IF(tblAssinaturas[[#This Row],[Coupon Value]]&gt;0,"Sim","Não")</f>
        <v>Sim</v>
      </c>
    </row>
    <row r="29" spans="1:14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  <c r="N29" s="11" t="str">
        <f>IF(tblAssinaturas[[#This Row],[Coupon Value]]&gt;0,"Sim","Não")</f>
        <v>Sim</v>
      </c>
    </row>
    <row r="30" spans="1:14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  <c r="N30" s="11" t="str">
        <f>IF(tblAssinaturas[[#This Row],[Coupon Value]]&gt;0,"Sim","Não")</f>
        <v>Sim</v>
      </c>
    </row>
    <row r="31" spans="1:14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  <c r="N31" s="11" t="str">
        <f>IF(tblAssinaturas[[#This Row],[Coupon Value]]&gt;0,"Sim","Não")</f>
        <v>Sim</v>
      </c>
    </row>
    <row r="32" spans="1:14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  <c r="N32" s="11" t="str">
        <f>IF(tblAssinaturas[[#This Row],[Coupon Value]]&gt;0,"Sim","Não")</f>
        <v>Sim</v>
      </c>
    </row>
    <row r="33" spans="1:14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  <c r="N33" s="11" t="str">
        <f>IF(tblAssinaturas[[#This Row],[Coupon Value]]&gt;0,"Sim","Não")</f>
        <v>Não</v>
      </c>
    </row>
    <row r="34" spans="1:14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  <c r="N34" s="11" t="str">
        <f>IF(tblAssinaturas[[#This Row],[Coupon Value]]&gt;0,"Sim","Não")</f>
        <v>Sim</v>
      </c>
    </row>
    <row r="35" spans="1:14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  <c r="N35" s="11" t="str">
        <f>IF(tblAssinaturas[[#This Row],[Coupon Value]]&gt;0,"Sim","Não")</f>
        <v>Sim</v>
      </c>
    </row>
    <row r="36" spans="1:14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  <c r="N36" s="11" t="str">
        <f>IF(tblAssinaturas[[#This Row],[Coupon Value]]&gt;0,"Sim","Não")</f>
        <v>Sim</v>
      </c>
    </row>
    <row r="37" spans="1:14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  <c r="N37" s="11" t="str">
        <f>IF(tblAssinaturas[[#This Row],[Coupon Value]]&gt;0,"Sim","Não")</f>
        <v>Não</v>
      </c>
    </row>
    <row r="38" spans="1:14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  <c r="N38" s="11" t="str">
        <f>IF(tblAssinaturas[[#This Row],[Coupon Value]]&gt;0,"Sim","Não")</f>
        <v>Sim</v>
      </c>
    </row>
    <row r="39" spans="1:14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  <c r="N39" s="11" t="str">
        <f>IF(tblAssinaturas[[#This Row],[Coupon Value]]&gt;0,"Sim","Não")</f>
        <v>Sim</v>
      </c>
    </row>
    <row r="40" spans="1:14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  <c r="N40" s="11" t="str">
        <f>IF(tblAssinaturas[[#This Row],[Coupon Value]]&gt;0,"Sim","Não")</f>
        <v>Sim</v>
      </c>
    </row>
    <row r="41" spans="1:14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  <c r="N41" s="11" t="str">
        <f>IF(tblAssinaturas[[#This Row],[Coupon Value]]&gt;0,"Sim","Não")</f>
        <v>Sim</v>
      </c>
    </row>
    <row r="42" spans="1:14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  <c r="N42" s="11" t="str">
        <f>IF(tblAssinaturas[[#This Row],[Coupon Value]]&gt;0,"Sim","Não")</f>
        <v>Sim</v>
      </c>
    </row>
    <row r="43" spans="1:14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  <c r="N43" s="11" t="str">
        <f>IF(tblAssinaturas[[#This Row],[Coupon Value]]&gt;0,"Sim","Não")</f>
        <v>Não</v>
      </c>
    </row>
    <row r="44" spans="1:14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  <c r="N44" s="11" t="str">
        <f>IF(tblAssinaturas[[#This Row],[Coupon Value]]&gt;0,"Sim","Não")</f>
        <v>Sim</v>
      </c>
    </row>
    <row r="45" spans="1:14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  <c r="N45" s="11" t="str">
        <f>IF(tblAssinaturas[[#This Row],[Coupon Value]]&gt;0,"Sim","Não")</f>
        <v>Sim</v>
      </c>
    </row>
    <row r="46" spans="1:14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  <c r="N46" s="11" t="str">
        <f>IF(tblAssinaturas[[#This Row],[Coupon Value]]&gt;0,"Sim","Não")</f>
        <v>Sim</v>
      </c>
    </row>
    <row r="47" spans="1:14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  <c r="N47" s="11" t="str">
        <f>IF(tblAssinaturas[[#This Row],[Coupon Value]]&gt;0,"Sim","Não")</f>
        <v>Sim</v>
      </c>
    </row>
    <row r="48" spans="1:14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  <c r="N48" s="11" t="str">
        <f>IF(tblAssinaturas[[#This Row],[Coupon Value]]&gt;0,"Sim","Não")</f>
        <v>Sim</v>
      </c>
    </row>
    <row r="49" spans="1:14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  <c r="N49" s="11" t="str">
        <f>IF(tblAssinaturas[[#This Row],[Coupon Value]]&gt;0,"Sim","Não")</f>
        <v>Não</v>
      </c>
    </row>
    <row r="50" spans="1:14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  <c r="N50" s="11" t="str">
        <f>IF(tblAssinaturas[[#This Row],[Coupon Value]]&gt;0,"Sim","Não")</f>
        <v>Sim</v>
      </c>
    </row>
    <row r="51" spans="1:14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  <c r="N51" s="11" t="str">
        <f>IF(tblAssinaturas[[#This Row],[Coupon Value]]&gt;0,"Sim","Não")</f>
        <v>Sim</v>
      </c>
    </row>
    <row r="52" spans="1:14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  <c r="N52" s="11" t="str">
        <f>IF(tblAssinaturas[[#This Row],[Coupon Value]]&gt;0,"Sim","Não")</f>
        <v>Sim</v>
      </c>
    </row>
    <row r="53" spans="1:14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  <c r="N53" s="11" t="str">
        <f>IF(tblAssinaturas[[#This Row],[Coupon Value]]&gt;0,"Sim","Não")</f>
        <v>Sim</v>
      </c>
    </row>
    <row r="54" spans="1:14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  <c r="N54" s="11" t="str">
        <f>IF(tblAssinaturas[[#This Row],[Coupon Value]]&gt;0,"Sim","Não")</f>
        <v>Sim</v>
      </c>
    </row>
    <row r="55" spans="1:14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  <c r="N55" s="11" t="str">
        <f>IF(tblAssinaturas[[#This Row],[Coupon Value]]&gt;0,"Sim","Não")</f>
        <v>Não</v>
      </c>
    </row>
    <row r="56" spans="1:14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  <c r="N56" s="11" t="str">
        <f>IF(tblAssinaturas[[#This Row],[Coupon Value]]&gt;0,"Sim","Não")</f>
        <v>Sim</v>
      </c>
    </row>
    <row r="57" spans="1:14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  <c r="N57" s="11" t="str">
        <f>IF(tblAssinaturas[[#This Row],[Coupon Value]]&gt;0,"Sim","Não")</f>
        <v>Sim</v>
      </c>
    </row>
    <row r="58" spans="1:14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  <c r="N58" s="11" t="str">
        <f>IF(tblAssinaturas[[#This Row],[Coupon Value]]&gt;0,"Sim","Não")</f>
        <v>Sim</v>
      </c>
    </row>
    <row r="59" spans="1:14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  <c r="N59" s="11" t="str">
        <f>IF(tblAssinaturas[[#This Row],[Coupon Value]]&gt;0,"Sim","Não")</f>
        <v>Sim</v>
      </c>
    </row>
    <row r="60" spans="1:14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  <c r="N60" s="11" t="str">
        <f>IF(tblAssinaturas[[#This Row],[Coupon Value]]&gt;0,"Sim","Não")</f>
        <v>Sim</v>
      </c>
    </row>
    <row r="61" spans="1:14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  <c r="N61" s="11" t="str">
        <f>IF(tblAssinaturas[[#This Row],[Coupon Value]]&gt;0,"Sim","Não")</f>
        <v>Não</v>
      </c>
    </row>
    <row r="62" spans="1:14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  <c r="N62" s="11" t="str">
        <f>IF(tblAssinaturas[[#This Row],[Coupon Value]]&gt;0,"Sim","Não")</f>
        <v>Sim</v>
      </c>
    </row>
    <row r="63" spans="1:14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  <c r="N63" s="11" t="str">
        <f>IF(tblAssinaturas[[#This Row],[Coupon Value]]&gt;0,"Sim","Não")</f>
        <v>Sim</v>
      </c>
    </row>
    <row r="64" spans="1:14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  <c r="N64" s="11" t="str">
        <f>IF(tblAssinaturas[[#This Row],[Coupon Value]]&gt;0,"Sim","Não")</f>
        <v>Sim</v>
      </c>
    </row>
    <row r="65" spans="1:14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  <c r="N65" s="11" t="str">
        <f>IF(tblAssinaturas[[#This Row],[Coupon Value]]&gt;0,"Sim","Não")</f>
        <v>Sim</v>
      </c>
    </row>
    <row r="66" spans="1:14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  <c r="N66" s="11" t="str">
        <f>IF(tblAssinaturas[[#This Row],[Coupon Value]]&gt;0,"Sim","Não")</f>
        <v>Sim</v>
      </c>
    </row>
    <row r="67" spans="1:14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  <c r="N67" s="11" t="str">
        <f>IF(tblAssinaturas[[#This Row],[Coupon Value]]&gt;0,"Sim","Não")</f>
        <v>Não</v>
      </c>
    </row>
    <row r="68" spans="1:14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  <c r="N68" s="11" t="str">
        <f>IF(tblAssinaturas[[#This Row],[Coupon Value]]&gt;0,"Sim","Não")</f>
        <v>Sim</v>
      </c>
    </row>
    <row r="69" spans="1:14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  <c r="N69" s="11" t="str">
        <f>IF(tblAssinaturas[[#This Row],[Coupon Value]]&gt;0,"Sim","Não")</f>
        <v>Sim</v>
      </c>
    </row>
    <row r="70" spans="1:14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  <c r="N70" s="11" t="str">
        <f>IF(tblAssinaturas[[#This Row],[Coupon Value]]&gt;0,"Sim","Não")</f>
        <v>Sim</v>
      </c>
    </row>
    <row r="71" spans="1:14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  <c r="N71" s="11" t="str">
        <f>IF(tblAssinaturas[[#This Row],[Coupon Value]]&gt;0,"Sim","Não")</f>
        <v>Sim</v>
      </c>
    </row>
    <row r="72" spans="1:14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  <c r="N72" s="11" t="str">
        <f>IF(tblAssinaturas[[#This Row],[Coupon Value]]&gt;0,"Sim","Não")</f>
        <v>Sim</v>
      </c>
    </row>
    <row r="73" spans="1:14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  <c r="N73" s="11" t="str">
        <f>IF(tblAssinaturas[[#This Row],[Coupon Value]]&gt;0,"Sim","Não")</f>
        <v>Não</v>
      </c>
    </row>
    <row r="74" spans="1:14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  <c r="N74" s="11" t="str">
        <f>IF(tblAssinaturas[[#This Row],[Coupon Value]]&gt;0,"Sim","Não")</f>
        <v>Sim</v>
      </c>
    </row>
    <row r="75" spans="1:14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  <c r="N75" s="11" t="str">
        <f>IF(tblAssinaturas[[#This Row],[Coupon Value]]&gt;0,"Sim","Não")</f>
        <v>Sim</v>
      </c>
    </row>
    <row r="76" spans="1:14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  <c r="N76" s="11" t="str">
        <f>IF(tblAssinaturas[[#This Row],[Coupon Value]]&gt;0,"Sim","Não")</f>
        <v>Sim</v>
      </c>
    </row>
    <row r="77" spans="1:14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  <c r="N77" s="11" t="str">
        <f>IF(tblAssinaturas[[#This Row],[Coupon Value]]&gt;0,"Sim","Não")</f>
        <v>Sim</v>
      </c>
    </row>
    <row r="78" spans="1:14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  <c r="N78" s="11" t="str">
        <f>IF(tblAssinaturas[[#This Row],[Coupon Value]]&gt;0,"Sim","Não")</f>
        <v>Sim</v>
      </c>
    </row>
    <row r="79" spans="1:14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  <c r="N79" s="11" t="str">
        <f>IF(tblAssinaturas[[#This Row],[Coupon Value]]&gt;0,"Sim","Não")</f>
        <v>Não</v>
      </c>
    </row>
    <row r="80" spans="1:14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  <c r="N80" s="11" t="str">
        <f>IF(tblAssinaturas[[#This Row],[Coupon Value]]&gt;0,"Sim","Não")</f>
        <v>Sim</v>
      </c>
    </row>
    <row r="81" spans="1:14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  <c r="N81" s="11" t="str">
        <f>IF(tblAssinaturas[[#This Row],[Coupon Value]]&gt;0,"Sim","Não")</f>
        <v>Sim</v>
      </c>
    </row>
    <row r="82" spans="1:14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  <c r="N82" s="11" t="str">
        <f>IF(tblAssinaturas[[#This Row],[Coupon Value]]&gt;0,"Sim","Não")</f>
        <v>Sim</v>
      </c>
    </row>
    <row r="83" spans="1:14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  <c r="N83" s="11" t="str">
        <f>IF(tblAssinaturas[[#This Row],[Coupon Value]]&gt;0,"Sim","Não")</f>
        <v>Sim</v>
      </c>
    </row>
    <row r="84" spans="1:14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  <c r="N84" s="11" t="str">
        <f>IF(tblAssinaturas[[#This Row],[Coupon Value]]&gt;0,"Sim","Não")</f>
        <v>Sim</v>
      </c>
    </row>
    <row r="85" spans="1:14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  <c r="N85" s="11" t="str">
        <f>IF(tblAssinaturas[[#This Row],[Coupon Value]]&gt;0,"Sim","Não")</f>
        <v>Não</v>
      </c>
    </row>
    <row r="86" spans="1:14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  <c r="N86" s="11" t="str">
        <f>IF(tblAssinaturas[[#This Row],[Coupon Value]]&gt;0,"Sim","Não")</f>
        <v>Sim</v>
      </c>
    </row>
    <row r="87" spans="1:14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  <c r="N87" s="11" t="str">
        <f>IF(tblAssinaturas[[#This Row],[Coupon Value]]&gt;0,"Sim","Não")</f>
        <v>Sim</v>
      </c>
    </row>
    <row r="88" spans="1:14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  <c r="N88" s="11" t="str">
        <f>IF(tblAssinaturas[[#This Row],[Coupon Value]]&gt;0,"Sim","Não")</f>
        <v>Sim</v>
      </c>
    </row>
    <row r="89" spans="1:14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  <c r="N89" s="11" t="str">
        <f>IF(tblAssinaturas[[#This Row],[Coupon Value]]&gt;0,"Sim","Não")</f>
        <v>Sim</v>
      </c>
    </row>
    <row r="90" spans="1:14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  <c r="N90" s="11" t="str">
        <f>IF(tblAssinaturas[[#This Row],[Coupon Value]]&gt;0,"Sim","Não")</f>
        <v>Sim</v>
      </c>
    </row>
    <row r="91" spans="1:14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  <c r="N91" s="11" t="str">
        <f>IF(tblAssinaturas[[#This Row],[Coupon Value]]&gt;0,"Sim","Não")</f>
        <v>Não</v>
      </c>
    </row>
    <row r="92" spans="1:14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  <c r="N92" s="11" t="str">
        <f>IF(tblAssinaturas[[#This Row],[Coupon Value]]&gt;0,"Sim","Não")</f>
        <v>Sim</v>
      </c>
    </row>
    <row r="93" spans="1:14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  <c r="N93" s="11" t="str">
        <f>IF(tblAssinaturas[[#This Row],[Coupon Value]]&gt;0,"Sim","Não")</f>
        <v>Sim</v>
      </c>
    </row>
    <row r="94" spans="1:14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  <c r="N94" s="11" t="str">
        <f>IF(tblAssinaturas[[#This Row],[Coupon Value]]&gt;0,"Sim","Não")</f>
        <v>Sim</v>
      </c>
    </row>
    <row r="95" spans="1:14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  <c r="N95" s="11" t="str">
        <f>IF(tblAssinaturas[[#This Row],[Coupon Value]]&gt;0,"Sim","Não")</f>
        <v>Sim</v>
      </c>
    </row>
    <row r="96" spans="1:14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  <c r="N96" s="11" t="str">
        <f>IF(tblAssinaturas[[#This Row],[Coupon Value]]&gt;0,"Sim","Não")</f>
        <v>Sim</v>
      </c>
    </row>
    <row r="97" spans="1:14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  <c r="N97" s="11" t="str">
        <f>IF(tblAssinaturas[[#This Row],[Coupon Value]]&gt;0,"Sim","Não")</f>
        <v>Não</v>
      </c>
    </row>
    <row r="98" spans="1:14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  <c r="N98" s="11" t="str">
        <f>IF(tblAssinaturas[[#This Row],[Coupon Value]]&gt;0,"Sim","Não")</f>
        <v>Sim</v>
      </c>
    </row>
    <row r="99" spans="1:14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  <c r="N99" s="11" t="str">
        <f>IF(tblAssinaturas[[#This Row],[Coupon Value]]&gt;0,"Sim","Não")</f>
        <v>Sim</v>
      </c>
    </row>
    <row r="100" spans="1:14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  <c r="N100" s="11" t="str">
        <f>IF(tblAssinaturas[[#This Row],[Coupon Value]]&gt;0,"Sim","Não")</f>
        <v>Sim</v>
      </c>
    </row>
    <row r="101" spans="1:14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  <c r="N101" s="11" t="str">
        <f>IF(tblAssinaturas[[#This Row],[Coupon Value]]&gt;0,"Sim","Não")</f>
        <v>Sim</v>
      </c>
    </row>
    <row r="102" spans="1:14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  <c r="N102" s="11" t="str">
        <f>IF(tblAssinaturas[[#This Row],[Coupon Value]]&gt;0,"Sim","Não")</f>
        <v>Sim</v>
      </c>
    </row>
    <row r="103" spans="1:14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  <c r="N103" s="11" t="str">
        <f>IF(tblAssinaturas[[#This Row],[Coupon Value]]&gt;0,"Sim","Não")</f>
        <v>Não</v>
      </c>
    </row>
    <row r="104" spans="1:14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  <c r="N104" s="11" t="str">
        <f>IF(tblAssinaturas[[#This Row],[Coupon Value]]&gt;0,"Sim","Não")</f>
        <v>Sim</v>
      </c>
    </row>
    <row r="105" spans="1:14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  <c r="N105" s="11" t="str">
        <f>IF(tblAssinaturas[[#This Row],[Coupon Value]]&gt;0,"Sim","Não")</f>
        <v>Sim</v>
      </c>
    </row>
    <row r="106" spans="1:14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  <c r="N106" s="11" t="str">
        <f>IF(tblAssinaturas[[#This Row],[Coupon Value]]&gt;0,"Sim","Não")</f>
        <v>Sim</v>
      </c>
    </row>
    <row r="107" spans="1:14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  <c r="N107" s="11" t="str">
        <f>IF(tblAssinaturas[[#This Row],[Coupon Value]]&gt;0,"Sim","Não")</f>
        <v>Não</v>
      </c>
    </row>
    <row r="108" spans="1:14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  <c r="N108" s="11" t="str">
        <f>IF(tblAssinaturas[[#This Row],[Coupon Value]]&gt;0,"Sim","Não")</f>
        <v>Sim</v>
      </c>
    </row>
    <row r="109" spans="1:14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  <c r="N109" s="11" t="str">
        <f>IF(tblAssinaturas[[#This Row],[Coupon Value]]&gt;0,"Sim","Não")</f>
        <v>Sim</v>
      </c>
    </row>
    <row r="110" spans="1:14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  <c r="N110" s="11" t="str">
        <f>IF(tblAssinaturas[[#This Row],[Coupon Value]]&gt;0,"Sim","Não")</f>
        <v>Sim</v>
      </c>
    </row>
    <row r="111" spans="1:14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  <c r="N111" s="11" t="str">
        <f>IF(tblAssinaturas[[#This Row],[Coupon Value]]&gt;0,"Sim","Não")</f>
        <v>Sim</v>
      </c>
    </row>
    <row r="112" spans="1:14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  <c r="N112" s="11" t="str">
        <f>IF(tblAssinaturas[[#This Row],[Coupon Value]]&gt;0,"Sim","Não")</f>
        <v>Sim</v>
      </c>
    </row>
    <row r="113" spans="1:14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  <c r="N113" s="11" t="str">
        <f>IF(tblAssinaturas[[#This Row],[Coupon Value]]&gt;0,"Sim","Não")</f>
        <v>Não</v>
      </c>
    </row>
    <row r="114" spans="1:14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  <c r="N114" s="11" t="str">
        <f>IF(tblAssinaturas[[#This Row],[Coupon Value]]&gt;0,"Sim","Não")</f>
        <v>Sim</v>
      </c>
    </row>
    <row r="115" spans="1:14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  <c r="N115" s="11" t="str">
        <f>IF(tblAssinaturas[[#This Row],[Coupon Value]]&gt;0,"Sim","Não")</f>
        <v>Sim</v>
      </c>
    </row>
    <row r="116" spans="1:14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  <c r="N116" s="11" t="str">
        <f>IF(tblAssinaturas[[#This Row],[Coupon Value]]&gt;0,"Sim","Não")</f>
        <v>Sim</v>
      </c>
    </row>
    <row r="117" spans="1:14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  <c r="N117" s="11" t="str">
        <f>IF(tblAssinaturas[[#This Row],[Coupon Value]]&gt;0,"Sim","Não")</f>
        <v>Sim</v>
      </c>
    </row>
    <row r="118" spans="1:14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  <c r="N118" s="11" t="str">
        <f>IF(tblAssinaturas[[#This Row],[Coupon Value]]&gt;0,"Sim","Não")</f>
        <v>Sim</v>
      </c>
    </row>
    <row r="119" spans="1:14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  <c r="N119" s="11" t="str">
        <f>IF(tblAssinaturas[[#This Row],[Coupon Value]]&gt;0,"Sim","Não")</f>
        <v>Não</v>
      </c>
    </row>
    <row r="120" spans="1:14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  <c r="N120" s="11" t="str">
        <f>IF(tblAssinaturas[[#This Row],[Coupon Value]]&gt;0,"Sim","Não")</f>
        <v>Sim</v>
      </c>
    </row>
    <row r="121" spans="1:14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  <c r="N121" s="11" t="str">
        <f>IF(tblAssinaturas[[#This Row],[Coupon Value]]&gt;0,"Sim","Não")</f>
        <v>Sim</v>
      </c>
    </row>
    <row r="122" spans="1:14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  <c r="N122" s="11" t="str">
        <f>IF(tblAssinaturas[[#This Row],[Coupon Value]]&gt;0,"Sim","Não")</f>
        <v>Sim</v>
      </c>
    </row>
    <row r="123" spans="1:14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  <c r="N123" s="11" t="str">
        <f>IF(tblAssinaturas[[#This Row],[Coupon Value]]&gt;0,"Sim","Não")</f>
        <v>Sim</v>
      </c>
    </row>
    <row r="124" spans="1:14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  <c r="N124" s="11" t="str">
        <f>IF(tblAssinaturas[[#This Row],[Coupon Value]]&gt;0,"Sim","Não")</f>
        <v>Sim</v>
      </c>
    </row>
    <row r="125" spans="1:14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  <c r="N125" s="11" t="str">
        <f>IF(tblAssinaturas[[#This Row],[Coupon Value]]&gt;0,"Sim","Não")</f>
        <v>Não</v>
      </c>
    </row>
    <row r="126" spans="1:14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  <c r="N126" s="11" t="str">
        <f>IF(tblAssinaturas[[#This Row],[Coupon Value]]&gt;0,"Sim","Não")</f>
        <v>Sim</v>
      </c>
    </row>
    <row r="127" spans="1:14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  <c r="N127" s="11" t="str">
        <f>IF(tblAssinaturas[[#This Row],[Coupon Value]]&gt;0,"Sim","Não")</f>
        <v>Sim</v>
      </c>
    </row>
    <row r="128" spans="1:14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  <c r="N128" s="11" t="str">
        <f>IF(tblAssinaturas[[#This Row],[Coupon Value]]&gt;0,"Sim","Não")</f>
        <v>Sim</v>
      </c>
    </row>
    <row r="129" spans="1:14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  <c r="N129" s="11" t="str">
        <f>IF(tblAssinaturas[[#This Row],[Coupon Value]]&gt;0,"Sim","Não")</f>
        <v>Sim</v>
      </c>
    </row>
    <row r="130" spans="1:14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  <c r="N130" s="11" t="str">
        <f>IF(tblAssinaturas[[#This Row],[Coupon Value]]&gt;0,"Sim","Não")</f>
        <v>Sim</v>
      </c>
    </row>
    <row r="131" spans="1:14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  <c r="N131" s="11" t="str">
        <f>IF(tblAssinaturas[[#This Row],[Coupon Value]]&gt;0,"Sim","Não")</f>
        <v>Não</v>
      </c>
    </row>
    <row r="132" spans="1:14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  <c r="N132" s="11" t="str">
        <f>IF(tblAssinaturas[[#This Row],[Coupon Value]]&gt;0,"Sim","Não")</f>
        <v>Sim</v>
      </c>
    </row>
    <row r="133" spans="1:14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  <c r="N133" s="11" t="str">
        <f>IF(tblAssinaturas[[#This Row],[Coupon Value]]&gt;0,"Sim","Não")</f>
        <v>Sim</v>
      </c>
    </row>
    <row r="134" spans="1:14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  <c r="N134" s="11" t="str">
        <f>IF(tblAssinaturas[[#This Row],[Coupon Value]]&gt;0,"Sim","Não")</f>
        <v>Sim</v>
      </c>
    </row>
    <row r="135" spans="1:14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  <c r="N135" s="11" t="str">
        <f>IF(tblAssinaturas[[#This Row],[Coupon Value]]&gt;0,"Sim","Não")</f>
        <v>Sim</v>
      </c>
    </row>
    <row r="136" spans="1:14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  <c r="N136" s="11" t="str">
        <f>IF(tblAssinaturas[[#This Row],[Coupon Value]]&gt;0,"Sim","Não")</f>
        <v>Sim</v>
      </c>
    </row>
    <row r="137" spans="1:14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  <c r="N137" s="11" t="str">
        <f>IF(tblAssinaturas[[#This Row],[Coupon Value]]&gt;0,"Sim","Não")</f>
        <v>Não</v>
      </c>
    </row>
    <row r="138" spans="1:14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  <c r="N138" s="11" t="str">
        <f>IF(tblAssinaturas[[#This Row],[Coupon Value]]&gt;0,"Sim","Não")</f>
        <v>Sim</v>
      </c>
    </row>
    <row r="139" spans="1:14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  <c r="N139" s="11" t="str">
        <f>IF(tblAssinaturas[[#This Row],[Coupon Value]]&gt;0,"Sim","Não")</f>
        <v>Sim</v>
      </c>
    </row>
    <row r="140" spans="1:14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  <c r="N140" s="11" t="str">
        <f>IF(tblAssinaturas[[#This Row],[Coupon Value]]&gt;0,"Sim","Não")</f>
        <v>Sim</v>
      </c>
    </row>
    <row r="141" spans="1:14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  <c r="N141" s="11" t="str">
        <f>IF(tblAssinaturas[[#This Row],[Coupon Value]]&gt;0,"Sim","Não")</f>
        <v>Sim</v>
      </c>
    </row>
    <row r="142" spans="1:14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  <c r="N142" s="11" t="str">
        <f>IF(tblAssinaturas[[#This Row],[Coupon Value]]&gt;0,"Sim","Não")</f>
        <v>Sim</v>
      </c>
    </row>
    <row r="143" spans="1:14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  <c r="N143" s="11" t="str">
        <f>IF(tblAssinaturas[[#This Row],[Coupon Value]]&gt;0,"Sim","Não")</f>
        <v>Não</v>
      </c>
    </row>
    <row r="144" spans="1:14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  <c r="N144" s="11" t="str">
        <f>IF(tblAssinaturas[[#This Row],[Coupon Value]]&gt;0,"Sim","Não")</f>
        <v>Sim</v>
      </c>
    </row>
    <row r="145" spans="1:14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  <c r="N145" s="11" t="str">
        <f>IF(tblAssinaturas[[#This Row],[Coupon Value]]&gt;0,"Sim","Não")</f>
        <v>Sim</v>
      </c>
    </row>
    <row r="146" spans="1:14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  <c r="N146" s="11" t="str">
        <f>IF(tblAssinaturas[[#This Row],[Coupon Value]]&gt;0,"Sim","Não")</f>
        <v>Sim</v>
      </c>
    </row>
    <row r="147" spans="1:14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  <c r="N147" s="11" t="str">
        <f>IF(tblAssinaturas[[#This Row],[Coupon Value]]&gt;0,"Sim","Não")</f>
        <v>Sim</v>
      </c>
    </row>
    <row r="148" spans="1:14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  <c r="N148" s="11" t="str">
        <f>IF(tblAssinaturas[[#This Row],[Coupon Value]]&gt;0,"Sim","Não")</f>
        <v>Sim</v>
      </c>
    </row>
    <row r="149" spans="1:14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  <c r="N149" s="11" t="str">
        <f>IF(tblAssinaturas[[#This Row],[Coupon Value]]&gt;0,"Sim","Não")</f>
        <v>Não</v>
      </c>
    </row>
    <row r="150" spans="1:14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  <c r="N150" s="11" t="str">
        <f>IF(tblAssinaturas[[#This Row],[Coupon Value]]&gt;0,"Sim","Não")</f>
        <v>Sim</v>
      </c>
    </row>
    <row r="151" spans="1:14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  <c r="N151" s="11" t="str">
        <f>IF(tblAssinaturas[[#This Row],[Coupon Value]]&gt;0,"Sim","Não")</f>
        <v>Sim</v>
      </c>
    </row>
    <row r="152" spans="1:14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  <c r="N152" s="11" t="str">
        <f>IF(tblAssinaturas[[#This Row],[Coupon Value]]&gt;0,"Sim","Não")</f>
        <v>Sim</v>
      </c>
    </row>
    <row r="153" spans="1:14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  <c r="N153" s="11" t="str">
        <f>IF(tblAssinaturas[[#This Row],[Coupon Value]]&gt;0,"Sim","Não")</f>
        <v>Sim</v>
      </c>
    </row>
    <row r="154" spans="1:14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  <c r="N154" s="11" t="str">
        <f>IF(tblAssinaturas[[#This Row],[Coupon Value]]&gt;0,"Sim","Não")</f>
        <v>Sim</v>
      </c>
    </row>
    <row r="155" spans="1:14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  <c r="N155" s="11" t="str">
        <f>IF(tblAssinaturas[[#This Row],[Coupon Value]]&gt;0,"Sim","Não")</f>
        <v>Não</v>
      </c>
    </row>
    <row r="156" spans="1:14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  <c r="N156" s="11" t="str">
        <f>IF(tblAssinaturas[[#This Row],[Coupon Value]]&gt;0,"Sim","Não")</f>
        <v>Sim</v>
      </c>
    </row>
    <row r="157" spans="1:14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  <c r="N157" s="11" t="str">
        <f>IF(tblAssinaturas[[#This Row],[Coupon Value]]&gt;0,"Sim","Não")</f>
        <v>Sim</v>
      </c>
    </row>
    <row r="158" spans="1:14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  <c r="N158" s="11" t="str">
        <f>IF(tblAssinaturas[[#This Row],[Coupon Value]]&gt;0,"Sim","Não")</f>
        <v>Sim</v>
      </c>
    </row>
    <row r="159" spans="1:14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  <c r="N159" s="11" t="str">
        <f>IF(tblAssinaturas[[#This Row],[Coupon Value]]&gt;0,"Sim","Não")</f>
        <v>Sim</v>
      </c>
    </row>
    <row r="160" spans="1:14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  <c r="N160" s="11" t="str">
        <f>IF(tblAssinaturas[[#This Row],[Coupon Value]]&gt;0,"Sim","Não")</f>
        <v>Sim</v>
      </c>
    </row>
    <row r="161" spans="1:14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  <c r="N161" s="11" t="str">
        <f>IF(tblAssinaturas[[#This Row],[Coupon Value]]&gt;0,"Sim","Não")</f>
        <v>Não</v>
      </c>
    </row>
    <row r="162" spans="1:14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  <c r="N162" s="11" t="str">
        <f>IF(tblAssinaturas[[#This Row],[Coupon Value]]&gt;0,"Sim","Não")</f>
        <v>Sim</v>
      </c>
    </row>
    <row r="163" spans="1:14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  <c r="N163" s="11" t="str">
        <f>IF(tblAssinaturas[[#This Row],[Coupon Value]]&gt;0,"Sim","Não")</f>
        <v>Sim</v>
      </c>
    </row>
    <row r="164" spans="1:14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  <c r="N164" s="11" t="str">
        <f>IF(tblAssinaturas[[#This Row],[Coupon Value]]&gt;0,"Sim","Não")</f>
        <v>Sim</v>
      </c>
    </row>
    <row r="165" spans="1:14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  <c r="N165" s="11" t="str">
        <f>IF(tblAssinaturas[[#This Row],[Coupon Value]]&gt;0,"Sim","Não")</f>
        <v>Sim</v>
      </c>
    </row>
    <row r="166" spans="1:14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  <c r="N166" s="11" t="str">
        <f>IF(tblAssinaturas[[#This Row],[Coupon Value]]&gt;0,"Sim","Não")</f>
        <v>Sim</v>
      </c>
    </row>
    <row r="167" spans="1:14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  <c r="N167" s="11" t="str">
        <f>IF(tblAssinaturas[[#This Row],[Coupon Value]]&gt;0,"Sim","Não")</f>
        <v>Não</v>
      </c>
    </row>
    <row r="168" spans="1:14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  <c r="N168" s="11" t="str">
        <f>IF(tblAssinaturas[[#This Row],[Coupon Value]]&gt;0,"Sim","Não")</f>
        <v>Sim</v>
      </c>
    </row>
    <row r="169" spans="1:14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  <c r="N169" s="11" t="str">
        <f>IF(tblAssinaturas[[#This Row],[Coupon Value]]&gt;0,"Sim","Não")</f>
        <v>Sim</v>
      </c>
    </row>
    <row r="170" spans="1:14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  <c r="N170" s="11" t="str">
        <f>IF(tblAssinaturas[[#This Row],[Coupon Value]]&gt;0,"Sim","Não")</f>
        <v>Sim</v>
      </c>
    </row>
    <row r="171" spans="1:14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  <c r="N171" s="11" t="str">
        <f>IF(tblAssinaturas[[#This Row],[Coupon Value]]&gt;0,"Sim","Não")</f>
        <v>Sim</v>
      </c>
    </row>
    <row r="172" spans="1:14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  <c r="N172" s="11" t="str">
        <f>IF(tblAssinaturas[[#This Row],[Coupon Value]]&gt;0,"Sim","Não")</f>
        <v>Sim</v>
      </c>
    </row>
    <row r="173" spans="1:14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  <c r="N173" s="11" t="str">
        <f>IF(tblAssinaturas[[#This Row],[Coupon Value]]&gt;0,"Sim","Não")</f>
        <v>Não</v>
      </c>
    </row>
    <row r="174" spans="1:14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  <c r="N174" s="11" t="str">
        <f>IF(tblAssinaturas[[#This Row],[Coupon Value]]&gt;0,"Sim","Não")</f>
        <v>Sim</v>
      </c>
    </row>
    <row r="175" spans="1:14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  <c r="N175" s="11" t="str">
        <f>IF(tblAssinaturas[[#This Row],[Coupon Value]]&gt;0,"Sim","Não")</f>
        <v>Sim</v>
      </c>
    </row>
    <row r="176" spans="1:14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  <c r="N176" s="11" t="str">
        <f>IF(tblAssinaturas[[#This Row],[Coupon Value]]&gt;0,"Sim","Não")</f>
        <v>Sim</v>
      </c>
    </row>
    <row r="177" spans="1:14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  <c r="N177" s="11" t="str">
        <f>IF(tblAssinaturas[[#This Row],[Coupon Value]]&gt;0,"Sim","Não")</f>
        <v>Não</v>
      </c>
    </row>
    <row r="178" spans="1:14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  <c r="N178" s="11" t="str">
        <f>IF(tblAssinaturas[[#This Row],[Coupon Value]]&gt;0,"Sim","Não")</f>
        <v>Sim</v>
      </c>
    </row>
    <row r="179" spans="1:14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  <c r="N179" s="11" t="str">
        <f>IF(tblAssinaturas[[#This Row],[Coupon Value]]&gt;0,"Sim","Não")</f>
        <v>Sim</v>
      </c>
    </row>
    <row r="180" spans="1:14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  <c r="N180" s="11" t="str">
        <f>IF(tblAssinaturas[[#This Row],[Coupon Value]]&gt;0,"Sim","Não")</f>
        <v>Sim</v>
      </c>
    </row>
    <row r="181" spans="1:14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  <c r="N181" s="11" t="str">
        <f>IF(tblAssinaturas[[#This Row],[Coupon Value]]&gt;0,"Sim","Não")</f>
        <v>Sim</v>
      </c>
    </row>
    <row r="182" spans="1:14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  <c r="N182" s="11" t="str">
        <f>IF(tblAssinaturas[[#This Row],[Coupon Value]]&gt;0,"Sim","Não")</f>
        <v>Sim</v>
      </c>
    </row>
    <row r="183" spans="1:14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  <c r="N183" s="11" t="str">
        <f>IF(tblAssinaturas[[#This Row],[Coupon Value]]&gt;0,"Sim","Não")</f>
        <v>Não</v>
      </c>
    </row>
    <row r="184" spans="1:14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  <c r="N184" s="11" t="str">
        <f>IF(tblAssinaturas[[#This Row],[Coupon Value]]&gt;0,"Sim","Não")</f>
        <v>Sim</v>
      </c>
    </row>
    <row r="185" spans="1:14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  <c r="N185" s="11" t="str">
        <f>IF(tblAssinaturas[[#This Row],[Coupon Value]]&gt;0,"Sim","Não")</f>
        <v>Sim</v>
      </c>
    </row>
    <row r="186" spans="1:14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  <c r="N186" s="11" t="str">
        <f>IF(tblAssinaturas[[#This Row],[Coupon Value]]&gt;0,"Sim","Não")</f>
        <v>Sim</v>
      </c>
    </row>
    <row r="187" spans="1:14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  <c r="N187" s="11" t="str">
        <f>IF(tblAssinaturas[[#This Row],[Coupon Value]]&gt;0,"Sim","Não")</f>
        <v>Sim</v>
      </c>
    </row>
    <row r="188" spans="1:14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  <c r="N188" s="11" t="str">
        <f>IF(tblAssinaturas[[#This Row],[Coupon Value]]&gt;0,"Sim","Não")</f>
        <v>Sim</v>
      </c>
    </row>
    <row r="189" spans="1:14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  <c r="N189" s="11" t="str">
        <f>IF(tblAssinaturas[[#This Row],[Coupon Value]]&gt;0,"Sim","Não")</f>
        <v>Não</v>
      </c>
    </row>
    <row r="190" spans="1:14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  <c r="N190" s="11" t="str">
        <f>IF(tblAssinaturas[[#This Row],[Coupon Value]]&gt;0,"Sim","Não")</f>
        <v>Sim</v>
      </c>
    </row>
    <row r="191" spans="1:14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  <c r="N191" s="11" t="str">
        <f>IF(tblAssinaturas[[#This Row],[Coupon Value]]&gt;0,"Sim","Não")</f>
        <v>Sim</v>
      </c>
    </row>
    <row r="192" spans="1:14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  <c r="N192" s="11" t="str">
        <f>IF(tblAssinaturas[[#This Row],[Coupon Value]]&gt;0,"Sim","Não")</f>
        <v>Sim</v>
      </c>
    </row>
    <row r="193" spans="1:14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  <c r="N193" s="11" t="str">
        <f>IF(tblAssinaturas[[#This Row],[Coupon Value]]&gt;0,"Sim","Não")</f>
        <v>Sim</v>
      </c>
    </row>
    <row r="194" spans="1:14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  <c r="N194" s="11" t="str">
        <f>IF(tblAssinaturas[[#This Row],[Coupon Value]]&gt;0,"Sim","Não")</f>
        <v>Sim</v>
      </c>
    </row>
    <row r="195" spans="1:14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  <c r="N195" s="11" t="str">
        <f>IF(tblAssinaturas[[#This Row],[Coupon Value]]&gt;0,"Sim","Não")</f>
        <v>Não</v>
      </c>
    </row>
    <row r="196" spans="1:14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  <c r="N196" s="11" t="str">
        <f>IF(tblAssinaturas[[#This Row],[Coupon Value]]&gt;0,"Sim","Não")</f>
        <v>Sim</v>
      </c>
    </row>
    <row r="197" spans="1:14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  <c r="N197" s="11" t="str">
        <f>IF(tblAssinaturas[[#This Row],[Coupon Value]]&gt;0,"Sim","Não")</f>
        <v>Sim</v>
      </c>
    </row>
    <row r="198" spans="1:14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  <c r="N198" s="11" t="str">
        <f>IF(tblAssinaturas[[#This Row],[Coupon Value]]&gt;0,"Sim","Não")</f>
        <v>Sim</v>
      </c>
    </row>
    <row r="199" spans="1:14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  <c r="N199" s="11" t="str">
        <f>IF(tblAssinaturas[[#This Row],[Coupon Value]]&gt;0,"Sim","Não")</f>
        <v>Sim</v>
      </c>
    </row>
    <row r="200" spans="1:14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  <c r="N200" s="11" t="str">
        <f>IF(tblAssinaturas[[#This Row],[Coupon Value]]&gt;0,"Sim","Não")</f>
        <v>Sim</v>
      </c>
    </row>
    <row r="201" spans="1:14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  <c r="N201" s="11" t="str">
        <f>IF(tblAssinaturas[[#This Row],[Coupon Value]]&gt;0,"Sim","Não")</f>
        <v>Não</v>
      </c>
    </row>
    <row r="202" spans="1:14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  <c r="N202" s="11" t="str">
        <f>IF(tblAssinaturas[[#This Row],[Coupon Value]]&gt;0,"Sim","Não")</f>
        <v>Sim</v>
      </c>
    </row>
    <row r="203" spans="1:14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  <c r="N203" s="11" t="str">
        <f>IF(tblAssinaturas[[#This Row],[Coupon Value]]&gt;0,"Sim","Não")</f>
        <v>Sim</v>
      </c>
    </row>
    <row r="204" spans="1:14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  <c r="N204" s="11" t="str">
        <f>IF(tblAssinaturas[[#This Row],[Coupon Value]]&gt;0,"Sim","Não")</f>
        <v>Sim</v>
      </c>
    </row>
    <row r="205" spans="1:14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  <c r="N205" s="11" t="str">
        <f>IF(tblAssinaturas[[#This Row],[Coupon Value]]&gt;0,"Sim","Não")</f>
        <v>Sim</v>
      </c>
    </row>
    <row r="206" spans="1:14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  <c r="N206" s="11" t="str">
        <f>IF(tblAssinaturas[[#This Row],[Coupon Value]]&gt;0,"Sim","Não")</f>
        <v>Sim</v>
      </c>
    </row>
    <row r="207" spans="1:14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  <c r="N207" s="11" t="str">
        <f>IF(tblAssinaturas[[#This Row],[Coupon Value]]&gt;0,"Sim","Não")</f>
        <v>Não</v>
      </c>
    </row>
    <row r="208" spans="1:14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  <c r="N208" s="11" t="str">
        <f>IF(tblAssinaturas[[#This Row],[Coupon Value]]&gt;0,"Sim","Não")</f>
        <v>Sim</v>
      </c>
    </row>
    <row r="209" spans="1:14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  <c r="N209" s="11" t="str">
        <f>IF(tblAssinaturas[[#This Row],[Coupon Value]]&gt;0,"Sim","Não")</f>
        <v>Sim</v>
      </c>
    </row>
    <row r="210" spans="1:14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  <c r="N210" s="11" t="str">
        <f>IF(tblAssinaturas[[#This Row],[Coupon Value]]&gt;0,"Sim","Não")</f>
        <v>Sim</v>
      </c>
    </row>
    <row r="211" spans="1:14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  <c r="N211" s="11" t="str">
        <f>IF(tblAssinaturas[[#This Row],[Coupon Value]]&gt;0,"Sim","Não")</f>
        <v>Sim</v>
      </c>
    </row>
    <row r="212" spans="1:14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  <c r="N212" s="11" t="str">
        <f>IF(tblAssinaturas[[#This Row],[Coupon Value]]&gt;0,"Sim","Não")</f>
        <v>Sim</v>
      </c>
    </row>
    <row r="213" spans="1:14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  <c r="N213" s="11" t="str">
        <f>IF(tblAssinaturas[[#This Row],[Coupon Value]]&gt;0,"Sim","Não")</f>
        <v>Não</v>
      </c>
    </row>
    <row r="214" spans="1:14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  <c r="N214" s="11" t="str">
        <f>IF(tblAssinaturas[[#This Row],[Coupon Value]]&gt;0,"Sim","Não")</f>
        <v>Sim</v>
      </c>
    </row>
    <row r="215" spans="1:14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  <c r="N215" s="11" t="str">
        <f>IF(tblAssinaturas[[#This Row],[Coupon Value]]&gt;0,"Sim","Não")</f>
        <v>Sim</v>
      </c>
    </row>
    <row r="216" spans="1:14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  <c r="N216" s="11" t="str">
        <f>IF(tblAssinaturas[[#This Row],[Coupon Value]]&gt;0,"Sim","Não")</f>
        <v>Sim</v>
      </c>
    </row>
    <row r="217" spans="1:14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  <c r="N217" s="11" t="str">
        <f>IF(tblAssinaturas[[#This Row],[Coupon Value]]&gt;0,"Sim","Não")</f>
        <v>Sim</v>
      </c>
    </row>
    <row r="218" spans="1:14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  <c r="N218" s="11" t="str">
        <f>IF(tblAssinaturas[[#This Row],[Coupon Value]]&gt;0,"Sim","Não")</f>
        <v>Sim</v>
      </c>
    </row>
    <row r="219" spans="1:14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  <c r="N219" s="11" t="str">
        <f>IF(tblAssinaturas[[#This Row],[Coupon Value]]&gt;0,"Sim","Não")</f>
        <v>Não</v>
      </c>
    </row>
    <row r="220" spans="1:14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  <c r="N220" s="11" t="str">
        <f>IF(tblAssinaturas[[#This Row],[Coupon Value]]&gt;0,"Sim","Não")</f>
        <v>Sim</v>
      </c>
    </row>
    <row r="221" spans="1:14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  <c r="N221" s="11" t="str">
        <f>IF(tblAssinaturas[[#This Row],[Coupon Value]]&gt;0,"Sim","Não")</f>
        <v>Sim</v>
      </c>
    </row>
    <row r="222" spans="1:14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  <c r="N222" s="11" t="str">
        <f>IF(tblAssinaturas[[#This Row],[Coupon Value]]&gt;0,"Sim","Não")</f>
        <v>Sim</v>
      </c>
    </row>
    <row r="223" spans="1:14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  <c r="N223" s="11" t="str">
        <f>IF(tblAssinaturas[[#This Row],[Coupon Value]]&gt;0,"Sim","Não")</f>
        <v>Sim</v>
      </c>
    </row>
    <row r="224" spans="1:14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  <c r="N224" s="11" t="str">
        <f>IF(tblAssinaturas[[#This Row],[Coupon Value]]&gt;0,"Sim","Não")</f>
        <v>Sim</v>
      </c>
    </row>
    <row r="225" spans="1:14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  <c r="N225" s="11" t="str">
        <f>IF(tblAssinaturas[[#This Row],[Coupon Value]]&gt;0,"Sim","Não")</f>
        <v>Não</v>
      </c>
    </row>
    <row r="226" spans="1:14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  <c r="N226" s="11" t="str">
        <f>IF(tblAssinaturas[[#This Row],[Coupon Value]]&gt;0,"Sim","Não")</f>
        <v>Sim</v>
      </c>
    </row>
    <row r="227" spans="1:14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  <c r="N227" s="11" t="str">
        <f>IF(tblAssinaturas[[#This Row],[Coupon Value]]&gt;0,"Sim","Não")</f>
        <v>Sim</v>
      </c>
    </row>
    <row r="228" spans="1:14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  <c r="N228" s="11" t="str">
        <f>IF(tblAssinaturas[[#This Row],[Coupon Value]]&gt;0,"Sim","Não")</f>
        <v>Sim</v>
      </c>
    </row>
    <row r="229" spans="1:14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  <c r="N229" s="11" t="str">
        <f>IF(tblAssinaturas[[#This Row],[Coupon Value]]&gt;0,"Sim","Não")</f>
        <v>Sim</v>
      </c>
    </row>
    <row r="230" spans="1:14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  <c r="N230" s="11" t="str">
        <f>IF(tblAssinaturas[[#This Row],[Coupon Value]]&gt;0,"Sim","Não")</f>
        <v>Sim</v>
      </c>
    </row>
    <row r="231" spans="1:14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  <c r="N231" s="11" t="str">
        <f>IF(tblAssinaturas[[#This Row],[Coupon Value]]&gt;0,"Sim","Não")</f>
        <v>Não</v>
      </c>
    </row>
    <row r="232" spans="1:14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  <c r="N232" s="11" t="str">
        <f>IF(tblAssinaturas[[#This Row],[Coupon Value]]&gt;0,"Sim","Não")</f>
        <v>Sim</v>
      </c>
    </row>
    <row r="233" spans="1:14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  <c r="N233" s="11" t="str">
        <f>IF(tblAssinaturas[[#This Row],[Coupon Value]]&gt;0,"Sim","Não")</f>
        <v>Sim</v>
      </c>
    </row>
    <row r="234" spans="1:14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  <c r="N234" s="11" t="str">
        <f>IF(tblAssinaturas[[#This Row],[Coupon Value]]&gt;0,"Sim","Não")</f>
        <v>Sim</v>
      </c>
    </row>
    <row r="235" spans="1:14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  <c r="N235" s="11" t="str">
        <f>IF(tblAssinaturas[[#This Row],[Coupon Value]]&gt;0,"Sim","Não")</f>
        <v>Sim</v>
      </c>
    </row>
    <row r="236" spans="1:14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  <c r="N236" s="11" t="str">
        <f>IF(tblAssinaturas[[#This Row],[Coupon Value]]&gt;0,"Sim","Não")</f>
        <v>Sim</v>
      </c>
    </row>
    <row r="237" spans="1:14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  <c r="N237" s="11" t="str">
        <f>IF(tblAssinaturas[[#This Row],[Coupon Value]]&gt;0,"Sim","Não")</f>
        <v>Não</v>
      </c>
    </row>
    <row r="238" spans="1:14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  <c r="N238" s="11" t="str">
        <f>IF(tblAssinaturas[[#This Row],[Coupon Value]]&gt;0,"Sim","Não")</f>
        <v>Sim</v>
      </c>
    </row>
    <row r="239" spans="1:14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  <c r="N239" s="11" t="str">
        <f>IF(tblAssinaturas[[#This Row],[Coupon Value]]&gt;0,"Sim","Não")</f>
        <v>Sim</v>
      </c>
    </row>
    <row r="240" spans="1:14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  <c r="N240" s="11" t="str">
        <f>IF(tblAssinaturas[[#This Row],[Coupon Value]]&gt;0,"Sim","Não")</f>
        <v>Sim</v>
      </c>
    </row>
    <row r="241" spans="1:14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  <c r="N241" s="11" t="str">
        <f>IF(tblAssinaturas[[#This Row],[Coupon Value]]&gt;0,"Sim","Não")</f>
        <v>Sim</v>
      </c>
    </row>
    <row r="242" spans="1:14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  <c r="N242" s="11" t="str">
        <f>IF(tblAssinaturas[[#This Row],[Coupon Value]]&gt;0,"Sim","Não")</f>
        <v>Sim</v>
      </c>
    </row>
    <row r="243" spans="1:14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  <c r="N243" s="11" t="str">
        <f>IF(tblAssinaturas[[#This Row],[Coupon Value]]&gt;0,"Sim","Não")</f>
        <v>Não</v>
      </c>
    </row>
    <row r="244" spans="1:14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  <c r="N244" s="11" t="str">
        <f>IF(tblAssinaturas[[#This Row],[Coupon Value]]&gt;0,"Sim","Não")</f>
        <v>Sim</v>
      </c>
    </row>
    <row r="245" spans="1:14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  <c r="N245" s="11" t="str">
        <f>IF(tblAssinaturas[[#This Row],[Coupon Value]]&gt;0,"Sim","Não")</f>
        <v>Sim</v>
      </c>
    </row>
    <row r="246" spans="1:14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  <c r="N246" s="11" t="str">
        <f>IF(tblAssinaturas[[#This Row],[Coupon Value]]&gt;0,"Sim","Não")</f>
        <v>Sim</v>
      </c>
    </row>
    <row r="247" spans="1:14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  <c r="N247" s="11" t="str">
        <f>IF(tblAssinaturas[[#This Row],[Coupon Value]]&gt;0,"Sim","Não")</f>
        <v>Sim</v>
      </c>
    </row>
    <row r="248" spans="1:14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  <c r="N248" s="11" t="str">
        <f>IF(tblAssinaturas[[#This Row],[Coupon Value]]&gt;0,"Sim","Não")</f>
        <v>Sim</v>
      </c>
    </row>
    <row r="249" spans="1:14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  <c r="N249" s="11" t="str">
        <f>IF(tblAssinaturas[[#This Row],[Coupon Value]]&gt;0,"Sim","Não")</f>
        <v>Não</v>
      </c>
    </row>
    <row r="250" spans="1:14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  <c r="N250" s="11" t="str">
        <f>IF(tblAssinaturas[[#This Row],[Coupon Value]]&gt;0,"Sim","Não")</f>
        <v>Sim</v>
      </c>
    </row>
    <row r="251" spans="1:14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  <c r="N251" s="11" t="str">
        <f>IF(tblAssinaturas[[#This Row],[Coupon Value]]&gt;0,"Sim","Não")</f>
        <v>Sim</v>
      </c>
    </row>
    <row r="252" spans="1:14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  <c r="N252" s="11" t="str">
        <f>IF(tblAssinaturas[[#This Row],[Coupon Value]]&gt;0,"Sim","Não")</f>
        <v>Sim</v>
      </c>
    </row>
    <row r="253" spans="1:14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  <c r="N253" s="11" t="str">
        <f>IF(tblAssinaturas[[#This Row],[Coupon Value]]&gt;0,"Sim","Não")</f>
        <v>Sim</v>
      </c>
    </row>
    <row r="254" spans="1:14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  <c r="N254" s="11" t="str">
        <f>IF(tblAssinaturas[[#This Row],[Coupon Value]]&gt;0,"Sim","Não")</f>
        <v>Sim</v>
      </c>
    </row>
    <row r="255" spans="1:14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  <c r="N255" s="11" t="str">
        <f>IF(tblAssinaturas[[#This Row],[Coupon Value]]&gt;0,"Sim","Não")</f>
        <v>Não</v>
      </c>
    </row>
    <row r="256" spans="1:14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  <c r="N256" s="11" t="str">
        <f>IF(tblAssinaturas[[#This Row],[Coupon Value]]&gt;0,"Sim","Não")</f>
        <v>Sim</v>
      </c>
    </row>
    <row r="257" spans="1:14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  <c r="N257" s="11" t="str">
        <f>IF(tblAssinaturas[[#This Row],[Coupon Value]]&gt;0,"Sim","Não")</f>
        <v>Não</v>
      </c>
    </row>
    <row r="258" spans="1:14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  <c r="N258" s="11" t="str">
        <f>IF(tblAssinaturas[[#This Row],[Coupon Value]]&gt;0,"Sim","Não")</f>
        <v>Sim</v>
      </c>
    </row>
    <row r="259" spans="1:14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  <c r="N259" s="11" t="str">
        <f>IF(tblAssinaturas[[#This Row],[Coupon Value]]&gt;0,"Sim","Não")</f>
        <v>Sim</v>
      </c>
    </row>
    <row r="260" spans="1:14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  <c r="N260" s="11" t="str">
        <f>IF(tblAssinaturas[[#This Row],[Coupon Value]]&gt;0,"Sim","Não")</f>
        <v>Sim</v>
      </c>
    </row>
    <row r="261" spans="1:14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  <c r="N261" s="11" t="str">
        <f>IF(tblAssinaturas[[#This Row],[Coupon Value]]&gt;0,"Sim","Não")</f>
        <v>Sim</v>
      </c>
    </row>
    <row r="262" spans="1:14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  <c r="N262" s="11" t="str">
        <f>IF(tblAssinaturas[[#This Row],[Coupon Value]]&gt;0,"Sim","Não")</f>
        <v>Sim</v>
      </c>
    </row>
    <row r="263" spans="1:14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  <c r="N263" s="11" t="str">
        <f>IF(tblAssinaturas[[#This Row],[Coupon Value]]&gt;0,"Sim","Não")</f>
        <v>Não</v>
      </c>
    </row>
    <row r="264" spans="1:14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  <c r="N264" s="11" t="str">
        <f>IF(tblAssinaturas[[#This Row],[Coupon Value]]&gt;0,"Sim","Não")</f>
        <v>Sim</v>
      </c>
    </row>
    <row r="265" spans="1:14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  <c r="N265" s="11" t="str">
        <f>IF(tblAssinaturas[[#This Row],[Coupon Value]]&gt;0,"Sim","Não")</f>
        <v>Sim</v>
      </c>
    </row>
    <row r="266" spans="1:14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  <c r="N266" s="11" t="str">
        <f>IF(tblAssinaturas[[#This Row],[Coupon Value]]&gt;0,"Sim","Não")</f>
        <v>Sim</v>
      </c>
    </row>
    <row r="267" spans="1:14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  <c r="N267" s="11" t="str">
        <f>IF(tblAssinaturas[[#This Row],[Coupon Value]]&gt;0,"Sim","Não")</f>
        <v>Sim</v>
      </c>
    </row>
    <row r="268" spans="1:14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  <c r="N268" s="11" t="str">
        <f>IF(tblAssinaturas[[#This Row],[Coupon Value]]&gt;0,"Sim","Não")</f>
        <v>Sim</v>
      </c>
    </row>
    <row r="269" spans="1:14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  <c r="N269" s="11" t="str">
        <f>IF(tblAssinaturas[[#This Row],[Coupon Value]]&gt;0,"Sim","Não")</f>
        <v>Não</v>
      </c>
    </row>
    <row r="270" spans="1:14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  <c r="N270" s="11" t="str">
        <f>IF(tblAssinaturas[[#This Row],[Coupon Value]]&gt;0,"Sim","Não")</f>
        <v>Sim</v>
      </c>
    </row>
    <row r="271" spans="1:14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  <c r="N271" s="11" t="str">
        <f>IF(tblAssinaturas[[#This Row],[Coupon Value]]&gt;0,"Sim","Não")</f>
        <v>Sim</v>
      </c>
    </row>
    <row r="272" spans="1:14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  <c r="N272" s="11" t="str">
        <f>IF(tblAssinaturas[[#This Row],[Coupon Value]]&gt;0,"Sim","Não")</f>
        <v>Sim</v>
      </c>
    </row>
    <row r="273" spans="1:14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  <c r="N273" s="11" t="str">
        <f>IF(tblAssinaturas[[#This Row],[Coupon Value]]&gt;0,"Sim","Não")</f>
        <v>Sim</v>
      </c>
    </row>
    <row r="274" spans="1:14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  <c r="N274" s="11" t="str">
        <f>IF(tblAssinaturas[[#This Row],[Coupon Value]]&gt;0,"Sim","Não")</f>
        <v>Sim</v>
      </c>
    </row>
    <row r="275" spans="1:14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  <c r="N275" s="11" t="str">
        <f>IF(tblAssinaturas[[#This Row],[Coupon Value]]&gt;0,"Sim","Não")</f>
        <v>Não</v>
      </c>
    </row>
    <row r="276" spans="1:14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  <c r="N276" s="11" t="str">
        <f>IF(tblAssinaturas[[#This Row],[Coupon Value]]&gt;0,"Sim","Não")</f>
        <v>Sim</v>
      </c>
    </row>
    <row r="277" spans="1:14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  <c r="N277" s="11" t="str">
        <f>IF(tblAssinaturas[[#This Row],[Coupon Value]]&gt;0,"Sim","Não")</f>
        <v>Sim</v>
      </c>
    </row>
    <row r="278" spans="1:14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  <c r="N278" s="11" t="str">
        <f>IF(tblAssinaturas[[#This Row],[Coupon Value]]&gt;0,"Sim","Não")</f>
        <v>Sim</v>
      </c>
    </row>
    <row r="279" spans="1:14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  <c r="N279" s="11" t="str">
        <f>IF(tblAssinaturas[[#This Row],[Coupon Value]]&gt;0,"Sim","Não")</f>
        <v>Sim</v>
      </c>
    </row>
    <row r="280" spans="1:14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  <c r="N280" s="11" t="str">
        <f>IF(tblAssinaturas[[#This Row],[Coupon Value]]&gt;0,"Sim","Não")</f>
        <v>Sim</v>
      </c>
    </row>
    <row r="281" spans="1:14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  <c r="N281" s="11" t="str">
        <f>IF(tblAssinaturas[[#This Row],[Coupon Value]]&gt;0,"Sim","Não")</f>
        <v>Não</v>
      </c>
    </row>
    <row r="282" spans="1:14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  <c r="N282" s="11" t="str">
        <f>IF(tblAssinaturas[[#This Row],[Coupon Value]]&gt;0,"Sim","Não")</f>
        <v>Sim</v>
      </c>
    </row>
    <row r="283" spans="1:14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  <c r="N283" s="11" t="str">
        <f>IF(tblAssinaturas[[#This Row],[Coupon Value]]&gt;0,"Sim","Não")</f>
        <v>Sim</v>
      </c>
    </row>
    <row r="284" spans="1:14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  <c r="N284" s="11" t="str">
        <f>IF(tblAssinaturas[[#This Row],[Coupon Value]]&gt;0,"Sim","Não")</f>
        <v>Sim</v>
      </c>
    </row>
    <row r="285" spans="1:14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  <c r="N285" s="11" t="str">
        <f>IF(tblAssinaturas[[#This Row],[Coupon Value]]&gt;0,"Sim","Não")</f>
        <v>Sim</v>
      </c>
    </row>
    <row r="286" spans="1:14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  <c r="N286" s="11" t="str">
        <f>IF(tblAssinaturas[[#This Row],[Coupon Value]]&gt;0,"Sim","Não")</f>
        <v>Sim</v>
      </c>
    </row>
    <row r="287" spans="1:14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  <c r="N287" s="11" t="str">
        <f>IF(tblAssinaturas[[#This Row],[Coupon Value]]&gt;0,"Sim","Não")</f>
        <v>Não</v>
      </c>
    </row>
    <row r="288" spans="1:14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  <c r="N288" s="11" t="str">
        <f>IF(tblAssinaturas[[#This Row],[Coupon Value]]&gt;0,"Sim","Não")</f>
        <v>Sim</v>
      </c>
    </row>
    <row r="289" spans="1:14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  <c r="N289" s="11" t="str">
        <f>IF(tblAssinaturas[[#This Row],[Coupon Value]]&gt;0,"Sim","Não")</f>
        <v>Sim</v>
      </c>
    </row>
    <row r="290" spans="1:14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  <c r="N290" s="11" t="str">
        <f>IF(tblAssinaturas[[#This Row],[Coupon Value]]&gt;0,"Sim","Não")</f>
        <v>Sim</v>
      </c>
    </row>
    <row r="291" spans="1:14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  <c r="N291" s="11" t="str">
        <f>IF(tblAssinaturas[[#This Row],[Coupon Value]]&gt;0,"Sim","Não")</f>
        <v>Sim</v>
      </c>
    </row>
    <row r="292" spans="1:14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  <c r="N292" s="11" t="str">
        <f>IF(tblAssinaturas[[#This Row],[Coupon Value]]&gt;0,"Sim","Não")</f>
        <v>Sim</v>
      </c>
    </row>
    <row r="293" spans="1:14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  <c r="N293" s="11" t="str">
        <f>IF(tblAssinaturas[[#This Row],[Coupon Value]]&gt;0,"Sim","Não")</f>
        <v>Não</v>
      </c>
    </row>
    <row r="294" spans="1:14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  <c r="N294" s="11" t="str">
        <f>IF(tblAssinaturas[[#This Row],[Coupon Value]]&gt;0,"Sim","Não")</f>
        <v>Sim</v>
      </c>
    </row>
    <row r="295" spans="1:14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  <c r="N295" s="11" t="str">
        <f>IF(tblAssinaturas[[#This Row],[Coupon Value]]&gt;0,"Sim","Não")</f>
        <v>Sim</v>
      </c>
    </row>
    <row r="296" spans="1:14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  <c r="N296" s="11" t="str">
        <f>IF(tblAssinaturas[[#This Row],[Coupon Value]]&gt;0,"Sim","Não")</f>
        <v>Sim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workbookViewId="0">
      <selection activeCell="D18" sqref="D18"/>
    </sheetView>
  </sheetViews>
  <sheetFormatPr defaultRowHeight="14.4" x14ac:dyDescent="0.3"/>
  <cols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AB33"/>
  <sheetViews>
    <sheetView showGridLines="0" tabSelected="1" zoomScale="85" zoomScaleNormal="85" workbookViewId="0">
      <selection activeCell="M8" sqref="M8"/>
    </sheetView>
  </sheetViews>
  <sheetFormatPr defaultRowHeight="14.4" x14ac:dyDescent="0.3"/>
  <cols>
    <col min="1" max="1" width="20" customWidth="1"/>
    <col min="2" max="2" width="3.5546875" customWidth="1"/>
    <col min="3" max="3" width="19" bestFit="1" customWidth="1"/>
    <col min="4" max="4" width="24.5546875" bestFit="1" customWidth="1"/>
    <col min="5" max="5" width="18.88671875" bestFit="1" customWidth="1"/>
    <col min="6" max="6" width="14.88671875" bestFit="1" customWidth="1"/>
    <col min="7" max="7" width="18.5546875" bestFit="1" customWidth="1"/>
    <col min="8" max="8" width="18.33203125" bestFit="1" customWidth="1"/>
    <col min="9" max="9" width="9.77734375" bestFit="1" customWidth="1"/>
    <col min="10" max="10" width="10.88671875" bestFit="1" customWidth="1"/>
    <col min="11" max="11" width="18.5546875" bestFit="1" customWidth="1"/>
    <col min="12" max="12" width="18.33203125" bestFit="1" customWidth="1"/>
    <col min="13" max="13" width="10.88671875" bestFit="1" customWidth="1"/>
    <col min="14" max="14" width="12.44140625" bestFit="1" customWidth="1"/>
  </cols>
  <sheetData>
    <row r="1" spans="1:28" ht="39" customHeight="1" x14ac:dyDescent="0.6">
      <c r="A1" s="4"/>
      <c r="B1" s="4"/>
      <c r="C1" s="4"/>
      <c r="D1" s="25" t="s">
        <v>323</v>
      </c>
      <c r="E1" s="4"/>
      <c r="F1" s="4"/>
      <c r="G1" s="4"/>
      <c r="H1" s="4"/>
      <c r="I1" s="4"/>
      <c r="J1" s="4"/>
      <c r="K1" s="4"/>
      <c r="L1" s="26" t="s">
        <v>324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ht="8.25" customHeight="1" x14ac:dyDescent="0.3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7.5" customHeight="1" x14ac:dyDescent="0.3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0.5" customHeight="1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9.75" customHeight="1" x14ac:dyDescent="0.3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33" customHeight="1" x14ac:dyDescent="0.3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 spans="1:28" x14ac:dyDescent="0.3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spans="1:28" ht="15.6" x14ac:dyDescent="0.3">
      <c r="A8" s="12"/>
      <c r="B8" s="12"/>
      <c r="C8" s="17" t="s">
        <v>313</v>
      </c>
      <c r="D8" s="18" t="s">
        <v>314</v>
      </c>
      <c r="E8" s="18" t="s">
        <v>315</v>
      </c>
      <c r="F8" s="18" t="s">
        <v>316</v>
      </c>
      <c r="G8" s="18" t="s">
        <v>317</v>
      </c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spans="1:28" ht="28.8" x14ac:dyDescent="0.55000000000000004">
      <c r="A9" s="12"/>
      <c r="B9" s="12"/>
      <c r="C9" s="13">
        <f>COUNTA(B̳ases!A:A)</f>
        <v>296</v>
      </c>
      <c r="D9" s="13">
        <f>SUM(B̳ases!M:M)</f>
        <v>7633</v>
      </c>
      <c r="E9" s="14">
        <f xml:space="preserve"> D9/C9</f>
        <v>25.787162162162161</v>
      </c>
      <c r="F9" s="15">
        <f>COUNTIFS(B̳ases!E:E,"Yes")/C9</f>
        <v>0.5</v>
      </c>
      <c r="G9" s="16">
        <f>(
   COUNTIFS(tblAssinaturas[EA Play Season Pass],"Yes")
 + COUNTIFS(tblAssinaturas[Minecraft Season Pass],"Yes")
 - COUNTIFS(tblAssinaturas[EA Play Season Pass],"Yes",tblAssinaturas[Minecraft Season Pass],"Yes")
) / C9</f>
        <v>0.65540540540540537</v>
      </c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spans="1:28" x14ac:dyDescent="0.3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spans="1:28" x14ac:dyDescent="0.3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spans="1:28" x14ac:dyDescent="0.3">
      <c r="A12" s="12"/>
      <c r="B12" s="12"/>
      <c r="C12" s="19" t="s">
        <v>318</v>
      </c>
      <c r="D12" t="s">
        <v>320</v>
      </c>
      <c r="F12" s="12"/>
      <c r="G12" s="19" t="s">
        <v>318</v>
      </c>
      <c r="H12" t="s">
        <v>320</v>
      </c>
      <c r="J12" s="12"/>
      <c r="K12" s="19" t="s">
        <v>318</v>
      </c>
      <c r="L12" t="s">
        <v>322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x14ac:dyDescent="0.3">
      <c r="A13" s="12"/>
      <c r="B13" s="12"/>
      <c r="C13" s="20" t="s">
        <v>22</v>
      </c>
      <c r="D13" s="21">
        <v>101</v>
      </c>
      <c r="F13" s="12"/>
      <c r="G13" s="20" t="s">
        <v>23</v>
      </c>
      <c r="H13" s="21">
        <v>147</v>
      </c>
      <c r="J13" s="12"/>
      <c r="K13" s="20" t="s">
        <v>24</v>
      </c>
      <c r="L13" s="24">
        <v>1754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spans="1:28" x14ac:dyDescent="0.3">
      <c r="A14" s="12"/>
      <c r="B14" s="12"/>
      <c r="C14" s="20" t="s">
        <v>26</v>
      </c>
      <c r="D14" s="21">
        <v>96</v>
      </c>
      <c r="F14" s="12"/>
      <c r="G14" s="20" t="s">
        <v>19</v>
      </c>
      <c r="H14" s="21">
        <v>148</v>
      </c>
      <c r="J14" s="12"/>
      <c r="K14" s="20" t="s">
        <v>20</v>
      </c>
      <c r="L14" s="24">
        <v>3571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spans="1:28" x14ac:dyDescent="0.3">
      <c r="A15" s="12"/>
      <c r="B15" s="12"/>
      <c r="C15" s="20" t="s">
        <v>18</v>
      </c>
      <c r="D15" s="21">
        <v>98</v>
      </c>
      <c r="F15" s="12"/>
      <c r="G15" s="20" t="s">
        <v>319</v>
      </c>
      <c r="H15" s="21">
        <v>295</v>
      </c>
      <c r="J15" s="12"/>
      <c r="K15" s="20" t="s">
        <v>27</v>
      </c>
      <c r="L15" s="24">
        <v>2308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spans="1:28" x14ac:dyDescent="0.3">
      <c r="A16" s="12"/>
      <c r="B16" s="12"/>
      <c r="C16" s="20" t="s">
        <v>319</v>
      </c>
      <c r="D16" s="21">
        <v>295</v>
      </c>
      <c r="F16" s="12"/>
      <c r="J16" s="12"/>
      <c r="K16" s="20" t="s">
        <v>319</v>
      </c>
      <c r="L16" s="24">
        <v>7633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spans="1:28" x14ac:dyDescent="0.3">
      <c r="A17" s="12"/>
      <c r="B17" s="12"/>
      <c r="F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spans="1:28" x14ac:dyDescent="0.3">
      <c r="A18" s="12"/>
      <c r="B18" s="12"/>
      <c r="F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spans="1:28" x14ac:dyDescent="0.3">
      <c r="A19" s="12"/>
      <c r="B19" s="12"/>
      <c r="F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x14ac:dyDescent="0.3">
      <c r="A20" s="12"/>
      <c r="B20" s="12"/>
      <c r="F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spans="1:28" x14ac:dyDescent="0.3">
      <c r="A21" s="12"/>
      <c r="B21" s="12"/>
      <c r="F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spans="1:28" x14ac:dyDescent="0.3">
      <c r="A22" s="12"/>
      <c r="B22" s="12"/>
      <c r="F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spans="1:28" x14ac:dyDescent="0.3">
      <c r="A23" s="12"/>
      <c r="B23" s="12"/>
      <c r="F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spans="1:28" x14ac:dyDescent="0.3">
      <c r="A24" s="12"/>
      <c r="B24" s="12"/>
      <c r="F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spans="1:28" x14ac:dyDescent="0.3">
      <c r="A25" s="12"/>
      <c r="B25" s="12"/>
      <c r="F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spans="1:28" x14ac:dyDescent="0.3">
      <c r="A26" s="12"/>
      <c r="B26" s="12"/>
      <c r="F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x14ac:dyDescent="0.3">
      <c r="A27" s="12"/>
      <c r="B27" s="12"/>
      <c r="F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spans="1:28" x14ac:dyDescent="0.3">
      <c r="A28" s="12"/>
      <c r="B28" s="12"/>
      <c r="F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spans="1:28" x14ac:dyDescent="0.3">
      <c r="A29" s="12"/>
      <c r="B29" s="12"/>
      <c r="F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spans="1:28" x14ac:dyDescent="0.3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</row>
    <row r="31" spans="1:28" x14ac:dyDescent="0.3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</row>
    <row r="32" spans="1:28" x14ac:dyDescent="0.3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</row>
    <row r="33" spans="1:28" x14ac:dyDescent="0.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</row>
  </sheetData>
  <pageMargins left="0.511811024" right="0.511811024" top="0.78740157499999996" bottom="0.78740157499999996" header="0.31496062000000002" footer="0.31496062000000002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Pedro Moezia</cp:lastModifiedBy>
  <dcterms:created xsi:type="dcterms:W3CDTF">2024-12-19T13:13:10Z</dcterms:created>
  <dcterms:modified xsi:type="dcterms:W3CDTF">2026-01-21T14:57:41Z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